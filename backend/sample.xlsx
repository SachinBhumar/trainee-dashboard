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764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T SOE" sheetId="2" state="visible" r:id="rId2"/>
    <sheet xmlns:r="http://schemas.openxmlformats.org/officeDocument/2006/relationships" name="SOS " sheetId="3" state="visible" r:id="rId3"/>
    <sheet xmlns:r="http://schemas.openxmlformats.org/officeDocument/2006/relationships" name="Vtion Digital SOV" sheetId="4" state="visible" r:id="rId4"/>
    <sheet xmlns:r="http://schemas.openxmlformats.org/officeDocument/2006/relationships" name="Digital SOE" sheetId="5" state="visible" r:id="rId5"/>
    <sheet xmlns:r="http://schemas.openxmlformats.org/officeDocument/2006/relationships" name="Similarweb" sheetId="6" state="visible" r:id="rId6"/>
    <sheet xmlns:r="http://schemas.openxmlformats.org/officeDocument/2006/relationships" name="Similar Web Source wise traffic" sheetId="7" state="hidden" r:id="rId7"/>
    <sheet xmlns:r="http://schemas.openxmlformats.org/officeDocument/2006/relationships" name="Performance Data" sheetId="8" state="visible" r:id="rId8"/>
  </sheets>
  <externalReferences>
    <externalReference xmlns:r="http://schemas.openxmlformats.org/officeDocument/2006/relationships" r:id="rId9"/>
  </externalReferences>
  <definedNames>
    <definedName name="Affiliates">#REF!</definedName>
    <definedName name="v">#REF!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%"/>
    <numFmt numFmtId="165" formatCode="#,##0;[Red]#,##0"/>
    <numFmt numFmtId="166" formatCode="mm\-yy"/>
    <numFmt numFmtId="167" formatCode="_-* #,##0_-;\-* #,##0_-;_-* &quot;-&quot;??_-;_-@_-"/>
    <numFmt numFmtId="168" formatCode="0.0%"/>
    <numFmt numFmtId="169" formatCode="_ * #,##0_ ;_ * \-#,##0_ ;_ * &quot;-&quot;??_ ;_ @_ "/>
    <numFmt numFmtId="170" formatCode="_ * #,##0.00_ ;_ * \-#,##0.00_ ;_ * &quot;-&quot;??_ ;_ @_ "/>
    <numFmt numFmtId="171" formatCode="0.0"/>
    <numFmt numFmtId="172" formatCode="#,##0%"/>
    <numFmt numFmtId="173" formatCode="[$-409]mmm/yy;@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92540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9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color rgb="FF000000"/>
      <sz val="8"/>
      <scheme val="minor"/>
    </font>
    <font>
      <name val="Tahoma"/>
      <family val="2"/>
      <color rgb="FF092540"/>
      <sz val="12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11"/>
    </font>
    <font>
      <name val="Aptos"/>
      <family val="2"/>
      <b val="1"/>
      <color theme="1"/>
      <sz val="8.5"/>
      <u val="single"/>
    </font>
    <font>
      <name val="Aptos"/>
      <family val="2"/>
      <color theme="1"/>
      <sz val="8.5"/>
    </font>
    <font>
      <name val="Aptos"/>
      <family val="2"/>
      <b val="1"/>
      <color theme="1"/>
      <sz val="8.5"/>
    </font>
    <font>
      <name val="Aptos"/>
      <family val="2"/>
      <b val="1"/>
      <color theme="0"/>
      <sz val="8.5"/>
    </font>
  </fonts>
  <fills count="2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theme="6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D3D3D3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0" fontId="3" fillId="0" borderId="0"/>
  </cellStyleXfs>
  <cellXfs count="315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21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2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1" applyAlignment="1" pivotButton="0" quotePrefix="0" xfId="1">
      <alignment horizontal="center" vertical="center"/>
    </xf>
    <xf numFmtId="21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9" fontId="4" fillId="0" borderId="1" applyAlignment="1" pivotButton="0" quotePrefix="0" xfId="2">
      <alignment horizontal="center" vertical="center"/>
    </xf>
    <xf numFmtId="9" fontId="4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9" fontId="4" fillId="0" borderId="0" applyAlignment="1" pivotButton="0" quotePrefix="0" xfId="2">
      <alignment horizontal="center" vertical="center"/>
    </xf>
    <xf numFmtId="0" fontId="4" fillId="0" borderId="12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7" fillId="3" borderId="1" applyAlignment="1" pivotButton="0" quotePrefix="0" xfId="1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8" fontId="4" fillId="0" borderId="1" applyAlignment="1" pivotButton="0" quotePrefix="0" xfId="2">
      <alignment horizontal="center" vertical="center"/>
    </xf>
    <xf numFmtId="169" fontId="12" fillId="0" borderId="1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9" fontId="9" fillId="2" borderId="1" applyAlignment="1" pivotButton="0" quotePrefix="0" xfId="0">
      <alignment horizontal="center" vertical="center"/>
    </xf>
    <xf numFmtId="169" fontId="9" fillId="2" borderId="1" applyAlignment="1" pivotButton="0" quotePrefix="0" xfId="0">
      <alignment vertical="center"/>
    </xf>
    <xf numFmtId="1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70" fontId="9" fillId="2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167" fontId="7" fillId="3" borderId="6" applyAlignment="1" pivotButton="0" quotePrefix="0" xfId="1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9" fontId="4" fillId="0" borderId="5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3">
      <alignment horizontal="center" vertical="center"/>
    </xf>
    <xf numFmtId="0" fontId="7" fillId="3" borderId="6" applyAlignment="1" pivotButton="0" quotePrefix="0" xfId="3">
      <alignment horizontal="center" vertical="center"/>
    </xf>
    <xf numFmtId="0" fontId="7" fillId="3" borderId="7" applyAlignment="1" pivotButton="0" quotePrefix="0" xfId="3">
      <alignment horizontal="center" vertical="center"/>
    </xf>
    <xf numFmtId="0" fontId="7" fillId="3" borderId="9" applyAlignment="1" pivotButton="0" quotePrefix="0" xfId="3">
      <alignment horizontal="center" vertical="center"/>
    </xf>
    <xf numFmtId="0" fontId="7" fillId="3" borderId="10" applyAlignment="1" pivotButton="0" quotePrefix="0" xfId="3">
      <alignment horizontal="center" vertical="center"/>
    </xf>
    <xf numFmtId="0" fontId="4" fillId="0" borderId="11" applyAlignment="1" pivotButton="0" quotePrefix="0" xfId="0">
      <alignment horizontal="center" vertical="center"/>
    </xf>
    <xf numFmtId="168" fontId="9" fillId="4" borderId="3" applyAlignment="1" pivotButton="0" quotePrefix="0" xfId="0">
      <alignment horizontal="center" vertical="center"/>
    </xf>
    <xf numFmtId="168" fontId="9" fillId="4" borderId="12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168" fontId="9" fillId="4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168" fontId="9" fillId="4" borderId="1" applyAlignment="1" pivotButton="0" quotePrefix="0" xfId="0">
      <alignment horizontal="center" vertical="center"/>
    </xf>
    <xf numFmtId="168" fontId="9" fillId="4" borderId="4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9" fillId="4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168" fontId="9" fillId="4" borderId="18" applyAlignment="1" pivotButton="0" quotePrefix="0" xfId="0">
      <alignment horizontal="center" vertical="center"/>
    </xf>
    <xf numFmtId="168" fontId="9" fillId="4" borderId="19" applyAlignment="1" pivotButton="0" quotePrefix="0" xfId="0">
      <alignment horizontal="center" vertical="center"/>
    </xf>
    <xf numFmtId="168" fontId="4" fillId="0" borderId="17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9" fillId="4" borderId="2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2">
      <alignment horizontal="center" vertical="center"/>
    </xf>
    <xf numFmtId="11" fontId="4" fillId="0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3" fontId="13" fillId="0" borderId="0" applyAlignment="1" pivotButton="0" quotePrefix="0" xfId="0">
      <alignment horizontal="center" vertical="center" wrapText="1"/>
    </xf>
    <xf numFmtId="9" fontId="1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3" fontId="15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3" fillId="13" borderId="1" pivotButton="0" quotePrefix="0" xfId="0"/>
    <xf numFmtId="10" fontId="10" fillId="0" borderId="0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165" fontId="4" fillId="0" borderId="1" applyAlignment="1" pivotButton="0" quotePrefix="1" xfId="0">
      <alignment horizontal="center" vertical="center"/>
    </xf>
    <xf numFmtId="9" fontId="15" fillId="0" borderId="1" applyAlignment="1" pivotButton="0" quotePrefix="0" xfId="2">
      <alignment horizontal="center" vertical="center"/>
    </xf>
    <xf numFmtId="10" fontId="4" fillId="0" borderId="11" applyAlignment="1" pivotButton="0" quotePrefix="0" xfId="0">
      <alignment horizontal="center" vertical="center"/>
    </xf>
    <xf numFmtId="10" fontId="4" fillId="0" borderId="15" applyAlignment="1" pivotButton="0" quotePrefix="0" xfId="0">
      <alignment horizontal="center" vertical="center"/>
    </xf>
    <xf numFmtId="10" fontId="4" fillId="0" borderId="17" applyAlignment="1" pivotButton="0" quotePrefix="0" xfId="0">
      <alignment horizontal="center" vertical="center"/>
    </xf>
    <xf numFmtId="10" fontId="9" fillId="4" borderId="14" applyAlignment="1" pivotButton="0" quotePrefix="0" xfId="0">
      <alignment horizontal="center" vertical="center"/>
    </xf>
    <xf numFmtId="10" fontId="9" fillId="4" borderId="16" applyAlignment="1" pivotButton="0" quotePrefix="0" xfId="0">
      <alignment horizontal="center" vertical="center"/>
    </xf>
    <xf numFmtId="10" fontId="9" fillId="4" borderId="20" applyAlignment="1" pivotButton="0" quotePrefix="0" xfId="0">
      <alignment horizontal="center" vertical="center"/>
    </xf>
    <xf numFmtId="10" fontId="4" fillId="0" borderId="3" applyAlignment="1" pivotButton="0" quotePrefix="0" xfId="0">
      <alignment horizontal="center" vertical="center"/>
    </xf>
    <xf numFmtId="10" fontId="4" fillId="0" borderId="1" applyAlignment="1" pivotButton="0" quotePrefix="0" xfId="2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4" fontId="9" fillId="0" borderId="29" applyAlignment="1" pivotButton="0" quotePrefix="0" xfId="0">
      <alignment horizontal="center" vertical="center"/>
    </xf>
    <xf numFmtId="0" fontId="4" fillId="7" borderId="3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3" fontId="4" fillId="7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4" fontId="4" fillId="0" borderId="28" applyAlignment="1" pivotButton="0" quotePrefix="0" xfId="0">
      <alignment horizontal="center" vertical="center"/>
    </xf>
    <xf numFmtId="4" fontId="4" fillId="0" borderId="29" applyAlignment="1" pivotButton="0" quotePrefix="0" xfId="0">
      <alignment horizontal="center" vertical="center"/>
    </xf>
    <xf numFmtId="0" fontId="4" fillId="7" borderId="32" applyAlignment="1" pivotButton="0" quotePrefix="0" xfId="0">
      <alignment horizontal="center" vertical="center"/>
    </xf>
    <xf numFmtId="0" fontId="4" fillId="7" borderId="3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" fontId="4" fillId="0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9" fontId="9" fillId="0" borderId="0" applyAlignment="1" pivotButton="0" quotePrefix="0" xfId="2">
      <alignment horizontal="center" vertical="center"/>
    </xf>
    <xf numFmtId="0" fontId="16" fillId="0" borderId="0" pivotButton="0" quotePrefix="0" xfId="0"/>
    <xf numFmtId="0" fontId="7" fillId="8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4" fillId="0" borderId="35" applyAlignment="1" pivotButton="0" quotePrefix="0" xfId="0">
      <alignment horizontal="center" vertical="center"/>
    </xf>
    <xf numFmtId="4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164" fontId="4" fillId="0" borderId="38" applyAlignment="1" pivotButton="0" quotePrefix="0" xfId="0">
      <alignment horizontal="center" vertical="center"/>
    </xf>
    <xf numFmtId="4" fontId="4" fillId="0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4" fontId="4" fillId="0" borderId="12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3" fontId="4" fillId="7" borderId="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3" fontId="4" fillId="0" borderId="4" applyAlignment="1" pivotButton="0" quotePrefix="0" xfId="0">
      <alignment horizontal="center" vertical="center"/>
    </xf>
    <xf numFmtId="3" fontId="4" fillId="0" borderId="12" applyAlignment="1" pivotButton="0" quotePrefix="0" xfId="0">
      <alignment horizontal="center" vertical="center"/>
    </xf>
    <xf numFmtId="0" fontId="4" fillId="7" borderId="41" applyAlignment="1" pivotButton="0" quotePrefix="0" xfId="0">
      <alignment horizontal="center" vertical="center"/>
    </xf>
    <xf numFmtId="0" fontId="4" fillId="7" borderId="26" applyAlignment="1" pivotButton="0" quotePrefix="0" xfId="0">
      <alignment horizontal="center" vertical="center"/>
    </xf>
    <xf numFmtId="164" fontId="4" fillId="7" borderId="26" applyAlignment="1" pivotButton="0" quotePrefix="0" xfId="0">
      <alignment horizontal="center" vertical="center"/>
    </xf>
    <xf numFmtId="3" fontId="4" fillId="7" borderId="4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4" fontId="4" fillId="0" borderId="43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164" fontId="9" fillId="0" borderId="44" applyAlignment="1" pivotButton="0" quotePrefix="0" xfId="0">
      <alignment horizontal="center" vertical="center"/>
    </xf>
    <xf numFmtId="4" fontId="9" fillId="0" borderId="4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9" fontId="4" fillId="0" borderId="0" applyAlignment="1" pivotButton="0" quotePrefix="0" xfId="1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72" fontId="4" fillId="0" borderId="1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7" fillId="16" borderId="1" pivotButton="0" quotePrefix="0" xfId="0"/>
    <xf numFmtId="0" fontId="17" fillId="16" borderId="1" applyAlignment="1" pivotButton="0" quotePrefix="0" xfId="0">
      <alignment horizontal="center"/>
    </xf>
    <xf numFmtId="0" fontId="17" fillId="17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applyAlignment="1" pivotButton="0" quotePrefix="0" xfId="0">
      <alignment horizontal="center"/>
    </xf>
    <xf numFmtId="9" fontId="0" fillId="0" borderId="1" applyAlignment="1" pivotButton="0" quotePrefix="0" xfId="2">
      <alignment horizontal="center"/>
    </xf>
    <xf numFmtId="0" fontId="0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9" fontId="0" fillId="0" borderId="1" applyAlignment="1" pivotButton="0" quotePrefix="0" xfId="2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8" fontId="0" fillId="0" borderId="1" applyAlignment="1" pivotButton="0" quotePrefix="0" xfId="2">
      <alignment horizontal="center"/>
    </xf>
    <xf numFmtId="1" fontId="0" fillId="0" borderId="1" applyAlignment="1" pivotButton="0" quotePrefix="0" xfId="0">
      <alignment horizontal="center"/>
    </xf>
    <xf numFmtId="165" fontId="0" fillId="0" borderId="1" applyAlignment="1" pivotButton="0" quotePrefix="0" xfId="2">
      <alignment horizontal="center"/>
    </xf>
    <xf numFmtId="0" fontId="0" fillId="0" borderId="1" applyAlignment="1" pivotButton="0" quotePrefix="0" xfId="2">
      <alignment horizontal="center"/>
    </xf>
    <xf numFmtId="168" fontId="0" fillId="0" borderId="1" applyAlignment="1" pivotButton="0" quotePrefix="0" xfId="2">
      <alignment horizontal="center"/>
    </xf>
    <xf numFmtId="169" fontId="0" fillId="0" borderId="1" applyAlignment="1" pivotButton="0" quotePrefix="0" xfId="1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/>
    </xf>
    <xf numFmtId="0" fontId="7" fillId="3" borderId="8" applyAlignment="1" pivotButton="0" quotePrefix="0" xfId="0">
      <alignment horizontal="center" vertical="center"/>
    </xf>
    <xf numFmtId="0" fontId="7" fillId="3" borderId="21" applyAlignment="1" pivotButton="0" quotePrefix="0" xfId="0">
      <alignment horizontal="center" vertical="center"/>
    </xf>
    <xf numFmtId="0" fontId="7" fillId="3" borderId="22" applyAlignment="1" pivotButton="0" quotePrefix="0" xfId="0">
      <alignment horizontal="center" vertical="center"/>
    </xf>
    <xf numFmtId="0" fontId="7" fillId="3" borderId="23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24" applyAlignment="1" pivotButton="0" quotePrefix="0" xfId="0">
      <alignment horizontal="center" vertical="center"/>
    </xf>
    <xf numFmtId="0" fontId="7" fillId="5" borderId="2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11" borderId="24" applyAlignment="1" pivotButton="0" quotePrefix="0" xfId="0">
      <alignment horizontal="center" vertical="center"/>
    </xf>
    <xf numFmtId="0" fontId="9" fillId="11" borderId="25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26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2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18" borderId="1" applyAlignment="1" pivotButton="0" quotePrefix="0" xfId="0">
      <alignment horizontal="center"/>
    </xf>
    <xf numFmtId="173" fontId="21" fillId="19" borderId="1" applyAlignment="1" pivotButton="0" quotePrefix="0" xfId="0">
      <alignment horizontal="center"/>
    </xf>
    <xf numFmtId="0" fontId="22" fillId="20" borderId="1" applyAlignment="1" pivotButton="0" quotePrefix="0" xfId="0">
      <alignment horizontal="center"/>
    </xf>
    <xf numFmtId="0" fontId="22" fillId="21" borderId="1" applyAlignment="1" pivotButton="0" quotePrefix="0" xfId="0">
      <alignment horizontal="center" vertical="center"/>
    </xf>
    <xf numFmtId="0" fontId="22" fillId="21" borderId="1" applyAlignment="1" pivotButton="0" quotePrefix="0" xfId="0">
      <alignment horizontal="center"/>
    </xf>
    <xf numFmtId="173" fontId="20" fillId="0" borderId="1" applyAlignment="1" pivotButton="0" quotePrefix="0" xfId="0">
      <alignment horizontal="center"/>
    </xf>
    <xf numFmtId="167" fontId="20" fillId="0" borderId="1" applyAlignment="1" pivotButton="0" quotePrefix="0" xfId="1">
      <alignment horizontal="center"/>
    </xf>
    <xf numFmtId="9" fontId="20" fillId="0" borderId="1" applyAlignment="1" pivotButton="0" quotePrefix="0" xfId="2">
      <alignment horizontal="center"/>
    </xf>
    <xf numFmtId="17" fontId="20" fillId="0" borderId="1" applyAlignment="1" pivotButton="0" quotePrefix="0" xfId="0">
      <alignment horizontal="center"/>
    </xf>
    <xf numFmtId="169" fontId="20" fillId="0" borderId="1" applyAlignment="1" pivotButton="0" quotePrefix="0" xfId="1">
      <alignment horizontal="center"/>
    </xf>
    <xf numFmtId="9" fontId="20" fillId="7" borderId="1" applyAlignment="1" pivotButton="0" quotePrefix="0" xfId="2">
      <alignment horizontal="center" vertical="center" wrapText="1"/>
    </xf>
    <xf numFmtId="173" fontId="22" fillId="22" borderId="1" applyAlignment="1" pivotButton="0" quotePrefix="0" xfId="0">
      <alignment horizontal="center"/>
    </xf>
    <xf numFmtId="167" fontId="22" fillId="22" borderId="1" applyAlignment="1" pivotButton="0" quotePrefix="0" xfId="1">
      <alignment horizontal="center"/>
    </xf>
    <xf numFmtId="9" fontId="22" fillId="22" borderId="1" applyAlignment="1" pivotButton="0" quotePrefix="0" xfId="2">
      <alignment horizontal="center"/>
    </xf>
    <xf numFmtId="0" fontId="22" fillId="23" borderId="1" applyAlignment="1" pivotButton="0" quotePrefix="0" xfId="0">
      <alignment horizontal="center"/>
    </xf>
    <xf numFmtId="167" fontId="22" fillId="23" borderId="1" applyAlignment="1" pivotButton="0" quotePrefix="0" xfId="1">
      <alignment horizontal="center"/>
    </xf>
    <xf numFmtId="9" fontId="22" fillId="23" borderId="1" applyAlignment="1" pivotButton="0" quotePrefix="0" xfId="2">
      <alignment horizontal="center"/>
    </xf>
    <xf numFmtId="173" fontId="20" fillId="0" borderId="0" applyAlignment="1" pivotButton="0" quotePrefix="0" xfId="0">
      <alignment horizontal="center"/>
    </xf>
    <xf numFmtId="167" fontId="20" fillId="0" borderId="0" applyAlignment="1" pivotButton="0" quotePrefix="0" xfId="1">
      <alignment horizontal="center"/>
    </xf>
    <xf numFmtId="9" fontId="20" fillId="0" borderId="0" applyAlignment="1" pivotButton="0" quotePrefix="0" xfId="2">
      <alignment horizontal="center"/>
    </xf>
    <xf numFmtId="17" fontId="20" fillId="0" borderId="0" applyAlignment="1" pivotButton="0" quotePrefix="0" xfId="0">
      <alignment horizontal="center"/>
    </xf>
    <xf numFmtId="169" fontId="20" fillId="0" borderId="0" applyAlignment="1" pivotButton="0" quotePrefix="0" xfId="1">
      <alignment horizontal="center"/>
    </xf>
    <xf numFmtId="9" fontId="20" fillId="7" borderId="0" applyAlignment="1" pivotButton="0" quotePrefix="0" xfId="2">
      <alignment horizontal="center" vertical="center" wrapText="1"/>
    </xf>
    <xf numFmtId="0" fontId="22" fillId="22" borderId="1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0" fillId="0" borderId="0" pivotButton="0" quotePrefix="0" xfId="0"/>
    <xf numFmtId="0" fontId="21" fillId="0" borderId="0" pivotButton="0" quotePrefix="0" xfId="0"/>
    <xf numFmtId="0" fontId="20" fillId="0" borderId="0" applyAlignment="1" pivotButton="0" quotePrefix="0" xfId="0">
      <alignment horizontal="left"/>
    </xf>
    <xf numFmtId="169" fontId="0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9" fontId="13" fillId="0" borderId="0" applyAlignment="1" pivotButton="0" quotePrefix="0" xfId="2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17" fontId="0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wrapText="1"/>
    </xf>
    <xf numFmtId="1" fontId="13" fillId="0" borderId="0" applyAlignment="1" pivotButton="0" quotePrefix="0" xfId="0">
      <alignment horizontal="center" vertical="center" wrapText="1"/>
    </xf>
    <xf numFmtId="10" fontId="0" fillId="0" borderId="1" applyAlignment="1" pivotButton="0" quotePrefix="0" xfId="2">
      <alignment horizontal="center"/>
    </xf>
    <xf numFmtId="9" fontId="0" fillId="0" borderId="1" applyAlignment="1" pivotButton="0" quotePrefix="0" xfId="2">
      <alignment horizontal="center"/>
    </xf>
    <xf numFmtId="0" fontId="4" fillId="0" borderId="0" applyAlignment="1" pivotButton="0" quotePrefix="0" xfId="2">
      <alignment horizontal="center" vertical="center"/>
    </xf>
    <xf numFmtId="168" fontId="4" fillId="0" borderId="0" applyAlignment="1" pivotButton="0" quotePrefix="0" xfId="0">
      <alignment horizontal="center" vertical="center"/>
    </xf>
    <xf numFmtId="165" fontId="0" fillId="0" borderId="1" applyAlignment="1" pivotButton="0" quotePrefix="0" xfId="2">
      <alignment horizontal="center"/>
    </xf>
    <xf numFmtId="170" fontId="13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168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2">
      <alignment horizontal="center"/>
    </xf>
    <xf numFmtId="165" fontId="0" fillId="0" borderId="1" applyAlignment="1" pivotButton="0" quotePrefix="0" xfId="2">
      <alignment horizontal="center"/>
    </xf>
    <xf numFmtId="169" fontId="0" fillId="0" borderId="1" applyAlignment="1" pivotButton="0" quotePrefix="0" xfId="1">
      <alignment horizontal="center"/>
    </xf>
    <xf numFmtId="170" fontId="13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1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8" fontId="9" fillId="4" borderId="3" applyAlignment="1" pivotButton="0" quotePrefix="0" xfId="0">
      <alignment horizontal="center" vertical="center"/>
    </xf>
    <xf numFmtId="168" fontId="9" fillId="4" borderId="12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168" fontId="9" fillId="4" borderId="14" applyAlignment="1" pivotButton="0" quotePrefix="0" xfId="0">
      <alignment horizontal="center" vertical="center"/>
    </xf>
    <xf numFmtId="168" fontId="9" fillId="4" borderId="1" applyAlignment="1" pivotButton="0" quotePrefix="0" xfId="0">
      <alignment horizontal="center" vertical="center"/>
    </xf>
    <xf numFmtId="168" fontId="9" fillId="4" borderId="4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9" fillId="4" borderId="16" applyAlignment="1" pivotButton="0" quotePrefix="0" xfId="0">
      <alignment horizontal="center" vertical="center"/>
    </xf>
    <xf numFmtId="168" fontId="9" fillId="4" borderId="18" applyAlignment="1" pivotButton="0" quotePrefix="0" xfId="0">
      <alignment horizontal="center" vertical="center"/>
    </xf>
    <xf numFmtId="168" fontId="9" fillId="4" borderId="19" applyAlignment="1" pivotButton="0" quotePrefix="0" xfId="0">
      <alignment horizontal="center" vertical="center"/>
    </xf>
    <xf numFmtId="168" fontId="4" fillId="0" borderId="17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9" fillId="4" borderId="20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167" fontId="7" fillId="3" borderId="6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7" fillId="3" borderId="9" applyAlignment="1" pivotButton="0" quotePrefix="0" xfId="0">
      <alignment horizontal="center" vertical="center"/>
    </xf>
    <xf numFmtId="0" fontId="0" fillId="0" borderId="23" pivotButton="0" quotePrefix="0" xfId="0"/>
    <xf numFmtId="167" fontId="7" fillId="3" borderId="1" applyAlignment="1" pivotButton="0" quotePrefix="0" xfId="1">
      <alignment horizontal="center" vertical="center"/>
    </xf>
    <xf numFmtId="168" fontId="4" fillId="0" borderId="1" applyAlignment="1" pivotButton="0" quotePrefix="0" xfId="2">
      <alignment horizontal="center" vertical="center"/>
    </xf>
    <xf numFmtId="169" fontId="12" fillId="0" borderId="1" applyAlignment="1" pivotButton="0" quotePrefix="0" xfId="0">
      <alignment horizontal="center" vertical="center"/>
    </xf>
    <xf numFmtId="169" fontId="9" fillId="2" borderId="1" applyAlignment="1" pivotButton="0" quotePrefix="0" xfId="0">
      <alignment horizontal="center" vertical="center"/>
    </xf>
    <xf numFmtId="169" fontId="9" fillId="2" borderId="1" applyAlignment="1" pivotButton="0" quotePrefix="0" xfId="0">
      <alignment vertical="center"/>
    </xf>
    <xf numFmtId="170" fontId="9" fillId="2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/>
    </xf>
    <xf numFmtId="172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1" applyAlignment="1" pivotButton="0" quotePrefix="0" xfId="1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1" applyAlignment="1" pivotButton="0" quotePrefix="1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4" fillId="0" borderId="38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28" applyAlignment="1" pivotButton="0" quotePrefix="0" xfId="0">
      <alignment horizontal="center" vertical="center"/>
    </xf>
    <xf numFmtId="164" fontId="4" fillId="7" borderId="26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9" fillId="0" borderId="44" applyAlignment="1" pivotButton="0" quotePrefix="0" xfId="0">
      <alignment horizontal="center" vertical="center"/>
    </xf>
    <xf numFmtId="169" fontId="4" fillId="0" borderId="0" applyAlignment="1" pivotButton="0" quotePrefix="0" xfId="1">
      <alignment horizontal="center" vertical="center"/>
    </xf>
    <xf numFmtId="173" fontId="21" fillId="19" borderId="1" applyAlignment="1" pivotButton="0" quotePrefix="0" xfId="0">
      <alignment horizontal="center"/>
    </xf>
    <xf numFmtId="173" fontId="20" fillId="0" borderId="1" applyAlignment="1" pivotButton="0" quotePrefix="0" xfId="0">
      <alignment horizontal="center"/>
    </xf>
    <xf numFmtId="167" fontId="20" fillId="0" borderId="1" applyAlignment="1" pivotButton="0" quotePrefix="0" xfId="1">
      <alignment horizontal="center"/>
    </xf>
    <xf numFmtId="169" fontId="20" fillId="0" borderId="1" applyAlignment="1" pivotButton="0" quotePrefix="0" xfId="1">
      <alignment horizontal="center"/>
    </xf>
    <xf numFmtId="173" fontId="22" fillId="22" borderId="1" applyAlignment="1" pivotButton="0" quotePrefix="0" xfId="0">
      <alignment horizontal="center"/>
    </xf>
    <xf numFmtId="167" fontId="22" fillId="22" borderId="1" applyAlignment="1" pivotButton="0" quotePrefix="0" xfId="1">
      <alignment horizontal="center"/>
    </xf>
    <xf numFmtId="167" fontId="22" fillId="23" borderId="1" applyAlignment="1" pivotButton="0" quotePrefix="0" xfId="1">
      <alignment horizontal="center"/>
    </xf>
    <xf numFmtId="173" fontId="20" fillId="0" borderId="0" applyAlignment="1" pivotButton="0" quotePrefix="0" xfId="0">
      <alignment horizontal="center"/>
    </xf>
    <xf numFmtId="167" fontId="20" fillId="0" borderId="0" applyAlignment="1" pivotButton="0" quotePrefix="0" xfId="1">
      <alignment horizontal="center"/>
    </xf>
    <xf numFmtId="169" fontId="20" fillId="0" borderId="0" applyAlignment="1" pivotButton="0" quotePrefix="0" xfId="1">
      <alignment horizontal="center"/>
    </xf>
  </cellXfs>
  <cellStyles count="4">
    <cellStyle name="Normal" xfId="0" builtinId="0"/>
    <cellStyle name="Comma" xfId="1" builtinId="3"/>
    <cellStyle name="Percent" xfId="2" builtinId="5"/>
    <cellStyle name="Normal 2" xfId="3"/>
  </cellStyles>
  <dxfs count="138"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top style="thin">
          <color rgb="FFD3D3D3"/>
        </top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numFmt numFmtId="168" formatCode="#,##0.00%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 outline="0"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</dxf>
    <dxf>
      <border>
        <bottom style="thin">
          <color indexed="64"/>
        </bottom>
      </border>
    </dxf>
    <dxf>
      <font>
        <name val="Calibri Light"/>
        <strike val="0"/>
        <outline val="0"/>
        <shadow val="0"/>
        <sz val="11"/>
        <vertAlign val="baseline"/>
        <scheme val="major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undalik%20K\AppData\Local\Microsoft\Windows\INetCache\Content.Outlook\L1LEVT08\AP%20Digital%20Dashboard%20-%20May%20%202026%20(00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YT SOE"/>
      <sheetName val="SOS "/>
      <sheetName val="Vtion Digital SOV"/>
      <sheetName val="Digital SOE"/>
      <sheetName val="Similarweb"/>
      <sheetName val="Performance Data"/>
      <sheetName val="Similar Web Source wise traff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id="1" name="_Aggregated_Data_for_Time___Site5" displayName="_Aggregated_Data_for_Time___Site5" ref="AE2:AH30" headerRowCount="1" headerRowDxfId="137" dataDxfId="135" totalsRowDxfId="133" headerRowBorderDxfId="136" tableBorderDxfId="134">
  <autoFilter ref="AE2:AH30"/>
  <tableColumns count="4">
    <tableColumn id="1" name="Domain" dataDxfId="132"/>
    <tableColumn id="2" name="Channel" dataDxfId="131"/>
    <tableColumn id="3" name="Traffic share" dataDxfId="130"/>
    <tableColumn id="4" name="Channel Traffic" dataDxfId="12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_Aggregated_Data_for_Time___Site" displayName="_Aggregated_Data_for_Time___Site" ref="AJ2:AM30" headerRowCount="1" headerRowDxfId="128" dataDxfId="126" totalsRowDxfId="124" headerRowBorderDxfId="127" tableBorderDxfId="125">
  <autoFilter ref="AJ2:AM30"/>
  <tableColumns count="4">
    <tableColumn id="1" name="Domain" dataDxfId="123"/>
    <tableColumn id="2" name="Channel" dataDxfId="122"/>
    <tableColumn id="3" name="Traffic share" dataDxfId="121"/>
    <tableColumn id="4" name="Channel Traffic" dataDxfId="12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_Aggregated_Data_for_Time___Site7" displayName="_Aggregated_Data_for_Time___Site7" ref="AO2:AR30" headerRowCount="1" headerRowDxfId="119" dataDxfId="117" totalsRowDxfId="115" headerRowBorderDxfId="118" tableBorderDxfId="116">
  <autoFilter ref="AO2:AR30"/>
  <tableColumns count="4">
    <tableColumn id="1" name="Domain" dataDxfId="114"/>
    <tableColumn id="2" name="Channel" dataDxfId="113"/>
    <tableColumn id="3" name="Traffic share" dataDxfId="112"/>
    <tableColumn id="4" name="Channel Traffic" dataDxfId="111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_Aggregated_Data_for_Time___Site8" displayName="_Aggregated_Data_for_Time___Site8" ref="AT2:AW30" headerRowCount="1" headerRowDxfId="110" dataDxfId="108" totalsRowDxfId="107" headerRowBorderDxfId="109">
  <autoFilter ref="AT2:AW30"/>
  <tableColumns count="4">
    <tableColumn id="1" name="Domain" dataDxfId="106"/>
    <tableColumn id="2" name="Channel" dataDxfId="105"/>
    <tableColumn id="3" name="Traffic share" dataDxfId="104"/>
    <tableColumn id="4" name="Channel Traffic" dataDxfId="103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_Aggregated_Data_for_Time___Site13" displayName="_Aggregated_Data_for_Time___Site13" ref="Z2:AC30" headerRowCount="1" headerRowDxfId="102" dataDxfId="101" totalsRowDxfId="100">
  <autoFilter ref="Z2:AC30"/>
  <tableColumns count="4">
    <tableColumn id="1" name="Domain" dataDxfId="99"/>
    <tableColumn id="2" name="Channel" dataDxfId="98"/>
    <tableColumn id="3" name="Traffic share" dataDxfId="97"/>
    <tableColumn id="4" name="Channel Traffic" dataDxfId="96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id="6" name="_Aggregated_Data_for_Time___Site9" displayName="_Aggregated_Data_for_Time___Site9" ref="A2:D30" headerRowCount="1" headerRowDxfId="95" dataDxfId="94" totalsRowDxfId="92" tableBorderDxfId="93">
  <autoFilter ref="A2:D30"/>
  <tableColumns count="4">
    <tableColumn id="1" name="Domain" dataDxfId="91"/>
    <tableColumn id="2" name="Channel" dataDxfId="90"/>
    <tableColumn id="3" name="Traffic share" dataDxfId="89"/>
    <tableColumn id="4" name="Channel Traffic" dataDxfId="88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id="7" name="_Aggregated_Data_for_Time___Site10" displayName="_Aggregated_Data_for_Time___Site10" ref="F2:I30" headerRowCount="1" headerRowDxfId="87" dataDxfId="86" totalsRowDxfId="84" tableBorderDxfId="85">
  <autoFilter ref="F2:I30"/>
  <tableColumns count="4">
    <tableColumn id="1" name="Domain" dataDxfId="83"/>
    <tableColumn id="2" name="Channel" dataDxfId="82"/>
    <tableColumn id="3" name="Traffic share" dataDxfId="81"/>
    <tableColumn id="4" name="Channel Traffic" dataDxfId="80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id="8" name="_Aggregated_Data_for_Time___Site11" displayName="_Aggregated_Data_for_Time___Site11" ref="K2:N30" headerRowCount="1" headerRowDxfId="79" dataDxfId="78" totalsRowDxfId="76" tableBorderDxfId="77">
  <autoFilter ref="K2:N30"/>
  <tableColumns count="4">
    <tableColumn id="1" name="Domain" dataDxfId="75"/>
    <tableColumn id="2" name="Channel" dataDxfId="74"/>
    <tableColumn id="3" name="Traffic share" dataDxfId="73"/>
    <tableColumn id="4" name="Channel Traffic" dataDxfId="72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id="9" name="_Aggregated_Data_for_Time___Site12" displayName="_Aggregated_Data_for_Time___Site12" ref="P2:S30" headerRowCount="1" headerRowDxfId="71" dataDxfId="70" totalsRowDxfId="68" tableBorderDxfId="69">
  <autoFilter ref="P2:S30"/>
  <tableColumns count="4">
    <tableColumn id="1" name="Domain" dataDxfId="67"/>
    <tableColumn id="2" name="Channel" dataDxfId="66"/>
    <tableColumn id="3" name="Traffic share" dataDxfId="65"/>
    <tableColumn id="4" name="Channel Traffic" dataDxfId="64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id="10" name="_Aggregated_Data_for_Time___Site14" displayName="_Aggregated_Data_for_Time___Site14" ref="U2:X30" headerRowCount="1" headerRowDxfId="63" dataDxfId="62" totalsRowDxfId="60" tableBorderDxfId="61">
  <autoFilter ref="U2:X30"/>
  <tableColumns count="4">
    <tableColumn id="1" name="Domain" dataDxfId="59"/>
    <tableColumn id="2" name="Channel" dataDxfId="58"/>
    <tableColumn id="3" name="Traffic share" dataDxfId="57"/>
    <tableColumn id="4" name="Channel Traffic" dataDxfId="56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id="11" name="_Aggregated_Data_for_Time___Site15" displayName="_Aggregated_Data_for_Time___Site15" ref="A33:D61" headerRowCount="1" headerRowDxfId="55" dataDxfId="54" totalsRowDxfId="52" tableBorderDxfId="53">
  <autoFilter ref="A33:D61"/>
  <tableColumns count="4">
    <tableColumn id="1" name="Domain" dataDxfId="51"/>
    <tableColumn id="2" name="Channel" dataDxfId="50"/>
    <tableColumn id="3" name="Traffic share" dataDxfId="49"/>
    <tableColumn id="4" name="Channel Traffic" dataDxfId="48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id="12" name="_Aggregated_Data_for_Time___Site16" displayName="_Aggregated_Data_for_Time___Site16" ref="F33:I61" headerRowCount="1" headerRowDxfId="47" dataDxfId="46" totalsRowDxfId="44" tableBorderDxfId="45">
  <autoFilter ref="F33:I61"/>
  <tableColumns count="4">
    <tableColumn id="1" name="Domain" dataDxfId="43"/>
    <tableColumn id="2" name="Channel" dataDxfId="42"/>
    <tableColumn id="3" name="Traffic share" dataDxfId="41"/>
    <tableColumn id="4" name="Channel Traffic" dataDxfId="40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id="13" name="_Aggregated_Data_for_Time___Site17" displayName="_Aggregated_Data_for_Time___Site17" ref="K33:N61" headerRowCount="1" headerRowDxfId="39" dataDxfId="38" totalsRowDxfId="36" tableBorderDxfId="37">
  <autoFilter ref="K33:N61"/>
  <tableColumns count="4">
    <tableColumn id="1" name="Domain" dataDxfId="35"/>
    <tableColumn id="2" name="Channel" dataDxfId="34"/>
    <tableColumn id="3" name="Traffic share" dataDxfId="33"/>
    <tableColumn id="4" name="Channel Traffic" dataDxfId="32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id="14" name="_Aggregated_Data_for_Time___Site18" displayName="_Aggregated_Data_for_Time___Site18" ref="P33:S61" headerRowCount="1" headerRowDxfId="31" dataDxfId="30" totalsRowDxfId="28" tableBorderDxfId="29">
  <autoFilter ref="P33:S61"/>
  <tableColumns count="4">
    <tableColumn id="1" name="Domain" dataDxfId="27"/>
    <tableColumn id="2" name="Channel" dataDxfId="26"/>
    <tableColumn id="3" name="Traffic share" dataDxfId="25"/>
    <tableColumn id="4" name="Channel Traffic" dataDxfId="24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id="15" name="_Aggregated_Data_for_Time___Site19" displayName="_Aggregated_Data_for_Time___Site19" ref="U33:X61" headerRowCount="1" headerRowDxfId="23" dataDxfId="22" totalsRowDxfId="20" tableBorderDxfId="21">
  <autoFilter ref="U33:X61"/>
  <tableColumns count="4">
    <tableColumn id="1" name="Domain" dataDxfId="19"/>
    <tableColumn id="2" name="Channel" dataDxfId="18"/>
    <tableColumn id="3" name="Traffic share" dataDxfId="17"/>
    <tableColumn id="4" name="Channel Traffic" dataDxfId="16"/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id="16" name="_Aggregated_Data_for_Time___Site817" displayName="_Aggregated_Data_for_Time___Site817" ref="AY2:BB30" headerRowCount="1" headerRowDxfId="15" dataDxfId="13" totalsRowDxfId="12" headerRowBorderDxfId="14">
  <autoFilter ref="AY2:BB30"/>
  <tableColumns count="4">
    <tableColumn id="1" name="Domain" dataDxfId="11"/>
    <tableColumn id="2" name="Channel" dataDxfId="10"/>
    <tableColumn id="3" name="Traffic share" dataDxfId="9"/>
    <tableColumn id="4" name="Channel Traffic" dataDxfId="8"/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id="17" name="_Aggregated_Data_for_Time___Site81718" displayName="_Aggregated_Data_for_Time___Site81718" ref="BD2:BG30" headerRowCount="1" headerRowDxfId="7" dataDxfId="5" totalsRowDxfId="4" headerRowBorderDxfId="6">
  <autoFilter ref="BD2:BG30"/>
  <tableColumns count="4">
    <tableColumn id="1" name="Domain" dataDxfId="3"/>
    <tableColumn id="2" name="Channel" dataDxfId="2"/>
    <tableColumn id="3" name="Traffic share" dataDxfId="1"/>
    <tableColumn id="4" name="Channel Traffi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Relationship Type="http://schemas.openxmlformats.org/officeDocument/2006/relationships/table" Target="/xl/tables/table17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showGridLines="0" tabSelected="1" zoomScale="8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85546875" defaultRowHeight="11.25"/>
  <cols>
    <col width="3.5703125" customWidth="1" style="237" min="1" max="1"/>
    <col width="47.42578125" bestFit="1" customWidth="1" style="237" min="2" max="2"/>
    <col width="15.42578125" bestFit="1" customWidth="1" style="237" min="3" max="3"/>
    <col width="22.85546875" bestFit="1" customWidth="1" style="237" min="4" max="4"/>
    <col hidden="1" width="8.85546875" customWidth="1" style="237" min="5" max="14"/>
    <col hidden="1" width="9.85546875" customWidth="1" style="237" min="15" max="15"/>
    <col hidden="1" width="13.28515625" customWidth="1" style="237" min="16" max="16"/>
    <col width="13.140625" customWidth="1" style="237" min="17" max="17"/>
    <col width="11.5703125" bestFit="1" customWidth="1" style="237" min="18" max="20"/>
    <col width="8.85546875" customWidth="1" style="237" min="21" max="21"/>
    <col width="10" bestFit="1" customWidth="1" style="237" min="22" max="23"/>
    <col width="8.85546875" customWidth="1" style="237" min="24" max="16384"/>
  </cols>
  <sheetData>
    <row r="1"/>
    <row r="2" ht="15" customHeight="1">
      <c r="B2" s="159" t="n"/>
      <c r="C2" s="159" t="n"/>
      <c r="D2" s="159" t="n"/>
      <c r="E2" s="179" t="inlineStr">
        <is>
          <t>FY 2025-2026</t>
        </is>
      </c>
      <c r="F2" s="246" t="n"/>
      <c r="G2" s="246" t="n"/>
      <c r="H2" s="246" t="n"/>
      <c r="I2" s="246" t="n"/>
      <c r="J2" s="246" t="n"/>
      <c r="K2" s="246" t="n"/>
      <c r="L2" s="246" t="n"/>
      <c r="M2" s="246" t="n"/>
      <c r="N2" s="246" t="n"/>
      <c r="O2" s="246" t="n"/>
      <c r="P2" s="247" t="n"/>
      <c r="Q2" s="159" t="n"/>
    </row>
    <row r="3" ht="15" customHeight="1">
      <c r="B3" s="160" t="inlineStr">
        <is>
          <t>Metrics</t>
        </is>
      </c>
      <c r="C3" s="160" t="inlineStr">
        <is>
          <t>Source</t>
        </is>
      </c>
      <c r="D3" s="160" t="inlineStr">
        <is>
          <t>Platforms</t>
        </is>
      </c>
      <c r="E3" s="161" t="inlineStr">
        <is>
          <t>April</t>
        </is>
      </c>
      <c r="F3" s="161" t="inlineStr">
        <is>
          <t>May</t>
        </is>
      </c>
      <c r="G3" s="161" t="inlineStr">
        <is>
          <t>Jun</t>
        </is>
      </c>
      <c r="H3" s="161" t="inlineStr">
        <is>
          <t>Jul</t>
        </is>
      </c>
      <c r="I3" s="161" t="inlineStr">
        <is>
          <t>Aug</t>
        </is>
      </c>
      <c r="J3" s="161" t="inlineStr">
        <is>
          <t>Sep</t>
        </is>
      </c>
      <c r="K3" s="161" t="inlineStr">
        <is>
          <t>Oct</t>
        </is>
      </c>
      <c r="L3" s="161" t="inlineStr">
        <is>
          <t>Nov</t>
        </is>
      </c>
      <c r="M3" s="161" t="inlineStr">
        <is>
          <t>Dec</t>
        </is>
      </c>
      <c r="N3" s="161" t="inlineStr">
        <is>
          <t>Jan</t>
        </is>
      </c>
      <c r="O3" s="161" t="inlineStr">
        <is>
          <t>Feb</t>
        </is>
      </c>
      <c r="P3" s="161" t="inlineStr">
        <is>
          <t>Mar</t>
        </is>
      </c>
      <c r="Q3" s="161" t="inlineStr">
        <is>
          <t>FY 25-26</t>
        </is>
      </c>
      <c r="R3" s="162" t="inlineStr">
        <is>
          <t>April</t>
        </is>
      </c>
      <c r="S3" s="162" t="inlineStr">
        <is>
          <t>May</t>
        </is>
      </c>
      <c r="T3" s="162" t="inlineStr">
        <is>
          <t>YTD-26-27</t>
        </is>
      </c>
    </row>
    <row r="4" ht="31.5" customHeight="1">
      <c r="B4" s="163" t="inlineStr">
        <is>
          <t>TOMA</t>
        </is>
      </c>
      <c r="C4" s="163" t="inlineStr">
        <is>
          <t>Kantar</t>
        </is>
      </c>
      <c r="D4" s="163" t="inlineStr">
        <is>
          <t>All Media</t>
        </is>
      </c>
      <c r="E4" s="164" t="n">
        <v>0.72</v>
      </c>
      <c r="F4" s="164" t="n">
        <v>0.86</v>
      </c>
      <c r="G4" s="164" t="n">
        <v>0.75</v>
      </c>
      <c r="H4" s="164" t="n">
        <v>0.88</v>
      </c>
      <c r="I4" s="164" t="n">
        <v>0.74</v>
      </c>
      <c r="J4" s="164" t="n">
        <v>0.87</v>
      </c>
      <c r="K4" s="164" t="n">
        <v>0.71</v>
      </c>
      <c r="L4" s="164" t="n">
        <v>0.8100000000000001</v>
      </c>
      <c r="M4" s="164" t="n">
        <v>0.7</v>
      </c>
      <c r="N4" s="164" t="n">
        <v>0.76</v>
      </c>
      <c r="O4" s="164" t="n">
        <v>0.78</v>
      </c>
      <c r="P4" s="164" t="n">
        <v>0.82</v>
      </c>
      <c r="Q4" s="240" t="n">
        <v>0.71</v>
      </c>
      <c r="R4" s="164" t="n">
        <v>0.88</v>
      </c>
      <c r="S4" s="164" t="n">
        <v>0.74</v>
      </c>
      <c r="T4" s="164" t="n">
        <v>0.88</v>
      </c>
    </row>
    <row r="5" ht="42" customHeight="1">
      <c r="B5" s="163" t="inlineStr">
        <is>
          <t>Consideration</t>
        </is>
      </c>
      <c r="C5" s="163" t="inlineStr">
        <is>
          <t>Kantar</t>
        </is>
      </c>
      <c r="D5" s="163" t="inlineStr">
        <is>
          <t>Top Box</t>
        </is>
      </c>
      <c r="E5" s="164" t="n">
        <v>0.86</v>
      </c>
      <c r="F5" s="164" t="n">
        <v>0.8100000000000001</v>
      </c>
      <c r="G5" s="164" t="n">
        <v>0.87</v>
      </c>
      <c r="H5" s="164" t="n">
        <v>0.96</v>
      </c>
      <c r="I5" s="164" t="n">
        <v>0.85</v>
      </c>
      <c r="J5" s="164" t="n">
        <v>0.82</v>
      </c>
      <c r="K5" s="164" t="n">
        <v>0.85</v>
      </c>
      <c r="L5" s="164" t="n">
        <v>0.9</v>
      </c>
      <c r="M5" s="164" t="n">
        <v>0.73</v>
      </c>
      <c r="N5" s="164" t="n">
        <v>0.74</v>
      </c>
      <c r="O5" s="164" t="n">
        <v>0.96</v>
      </c>
      <c r="P5" s="164" t="n">
        <v>0.78</v>
      </c>
      <c r="Q5" s="164" t="n">
        <v>0.93</v>
      </c>
      <c r="R5" s="164" t="n">
        <v>0.76</v>
      </c>
      <c r="S5" s="164" t="n">
        <v>0.88</v>
      </c>
      <c r="T5" s="164" t="n">
        <v>0.74</v>
      </c>
    </row>
    <row r="6" ht="14.1" customHeight="1">
      <c r="B6" s="163" t="inlineStr">
        <is>
          <t>TV Share of Voice (M 31 -60 NCCS AB U)</t>
        </is>
      </c>
      <c r="C6" s="163" t="inlineStr">
        <is>
          <t>BARC</t>
        </is>
      </c>
      <c r="D6" s="163" t="inlineStr">
        <is>
          <t>TV</t>
        </is>
      </c>
      <c r="E6" s="240" t="n">
        <v>0.39</v>
      </c>
      <c r="F6" s="240" t="n">
        <v>0.22</v>
      </c>
      <c r="G6" s="240" t="n">
        <v>0.45</v>
      </c>
      <c r="H6" s="240" t="n">
        <v>0.43</v>
      </c>
      <c r="I6" s="240" t="n">
        <v>0.37</v>
      </c>
      <c r="J6" s="240" t="n">
        <v>0.35</v>
      </c>
      <c r="K6" s="240" t="n">
        <v>0.34</v>
      </c>
      <c r="L6" s="240" t="n">
        <v>0.32</v>
      </c>
      <c r="M6" s="240" t="n">
        <v>0.37</v>
      </c>
      <c r="N6" s="240" t="n">
        <v>0.33</v>
      </c>
      <c r="O6" s="240" t="n">
        <v>0.33</v>
      </c>
      <c r="P6" s="164" t="n">
        <v>0.58</v>
      </c>
      <c r="Q6" s="240" t="n">
        <v>0.39</v>
      </c>
      <c r="R6" s="240" t="n">
        <v>0.6</v>
      </c>
      <c r="S6" s="240" t="n">
        <v>0.47</v>
      </c>
      <c r="T6" s="240" t="n">
        <v>0.43</v>
      </c>
    </row>
    <row r="7" ht="15" customHeight="1">
      <c r="B7" s="163" t="inlineStr">
        <is>
          <t>All Media SOE</t>
        </is>
      </c>
      <c r="C7" s="163" t="inlineStr">
        <is>
          <t xml:space="preserve">Madison Competes </t>
        </is>
      </c>
      <c r="D7" s="163" t="n"/>
      <c r="E7" s="240" t="n">
        <v>0.27</v>
      </c>
      <c r="F7" s="240" t="n">
        <v>0.22</v>
      </c>
      <c r="G7" s="240" t="n">
        <v>0.41</v>
      </c>
      <c r="H7" s="240" t="n">
        <v>0.38</v>
      </c>
      <c r="I7" s="240" t="n">
        <v>0.25</v>
      </c>
      <c r="J7" s="240" t="n">
        <v>0.39</v>
      </c>
      <c r="K7" s="240" t="n">
        <v>0.43</v>
      </c>
      <c r="L7" s="240" t="n">
        <v>0.47</v>
      </c>
      <c r="M7" s="240" t="n">
        <v>0.31</v>
      </c>
      <c r="N7" s="240" t="n">
        <v>0.37</v>
      </c>
      <c r="O7" s="240" t="n">
        <v>0.27</v>
      </c>
      <c r="P7" s="164" t="n">
        <v>0.4</v>
      </c>
      <c r="Q7" s="164" t="n">
        <v>0.29</v>
      </c>
      <c r="R7" s="240" t="n">
        <v>0.44</v>
      </c>
      <c r="S7" s="240" t="n">
        <v>0.38</v>
      </c>
      <c r="T7" s="240" t="n">
        <v>0.44</v>
      </c>
    </row>
    <row r="8" ht="15" customHeight="1">
      <c r="B8" s="163" t="inlineStr">
        <is>
          <t xml:space="preserve">Share of Expenditure </t>
        </is>
      </c>
      <c r="C8" s="163" t="inlineStr">
        <is>
          <t xml:space="preserve">Google </t>
        </is>
      </c>
      <c r="D8" s="163" t="inlineStr">
        <is>
          <t>YouTube</t>
        </is>
      </c>
      <c r="E8" s="240" t="n">
        <v>0.58</v>
      </c>
      <c r="F8" s="240" t="n">
        <v>0.29</v>
      </c>
      <c r="G8" s="240" t="n">
        <v>0.5</v>
      </c>
      <c r="H8" s="240" t="n">
        <v>0.31</v>
      </c>
      <c r="I8" s="240" t="n">
        <v>0.07000000000000001</v>
      </c>
      <c r="J8" s="240" t="n">
        <v>0.29</v>
      </c>
      <c r="K8" s="240" t="n">
        <v>0.36</v>
      </c>
      <c r="L8" s="240" t="n">
        <v>0.34</v>
      </c>
      <c r="M8" s="240" t="n">
        <v>0.36</v>
      </c>
      <c r="N8" s="240" t="n">
        <v>0.35</v>
      </c>
      <c r="O8" s="240" t="n">
        <v>0.4</v>
      </c>
      <c r="P8" s="240" t="n">
        <v>0.55</v>
      </c>
      <c r="Q8" s="164" t="n">
        <v>0.37</v>
      </c>
      <c r="R8" s="240" t="n">
        <v>0.5600000000000001</v>
      </c>
      <c r="S8" s="240" t="n">
        <v>0.3</v>
      </c>
      <c r="T8" s="240" t="n">
        <v>0.36</v>
      </c>
    </row>
    <row r="9" ht="60" customHeight="1">
      <c r="B9" s="166" t="inlineStr">
        <is>
          <t xml:space="preserve">Share of Expenditure </t>
        </is>
      </c>
      <c r="C9" s="166" t="inlineStr">
        <is>
          <t>All Platforms - Competes</t>
        </is>
      </c>
      <c r="D9" s="167" t="inlineStr">
        <is>
          <t>On Estimation- Vtion (Meta Google), OTT partners, Estd Similar Web Indx)</t>
        </is>
      </c>
      <c r="E9" s="168" t="n">
        <v>0.27</v>
      </c>
      <c r="F9" s="168" t="n">
        <v>0.23</v>
      </c>
      <c r="G9" s="168" t="n">
        <v>0.28</v>
      </c>
      <c r="H9" s="168" t="n">
        <v>0.59</v>
      </c>
      <c r="I9" s="168" t="n">
        <v>0.31</v>
      </c>
      <c r="J9" s="168" t="n">
        <v>0.49</v>
      </c>
      <c r="K9" s="168" t="n">
        <v>0.37</v>
      </c>
      <c r="L9" s="168" t="n">
        <v>0.39</v>
      </c>
      <c r="M9" s="168" t="n">
        <v>0.21</v>
      </c>
      <c r="N9" s="168" t="n">
        <v>0.48</v>
      </c>
      <c r="O9" s="168" t="n">
        <v>0.46</v>
      </c>
      <c r="P9" s="248" t="n">
        <v>0.47</v>
      </c>
      <c r="Q9" s="248" t="n">
        <v>0.29</v>
      </c>
      <c r="R9" s="168" t="n">
        <v>0.34</v>
      </c>
      <c r="S9" s="168" t="n">
        <v>0.37</v>
      </c>
      <c r="T9" s="168" t="n">
        <v>0.44</v>
      </c>
    </row>
    <row r="10" ht="15" customHeight="1">
      <c r="B10" s="163" t="inlineStr">
        <is>
          <t>TV Reach + Digital Reach + MMR Reach (In Mn)</t>
        </is>
      </c>
      <c r="C10" s="163" t="inlineStr">
        <is>
          <t>TV &amp; Digital</t>
        </is>
      </c>
      <c r="D10" s="163" t="inlineStr">
        <is>
          <t>BARC &amp; Madison Tool</t>
        </is>
      </c>
      <c r="E10" s="170" t="n"/>
      <c r="F10" s="170" t="n"/>
      <c r="G10" s="170" t="n"/>
      <c r="H10" s="170" t="n"/>
      <c r="I10" s="170" t="n"/>
      <c r="J10" s="170" t="n"/>
      <c r="K10" s="170" t="n"/>
      <c r="L10" s="170" t="n"/>
      <c r="M10" s="170" t="n"/>
      <c r="N10" s="170" t="n"/>
      <c r="O10" s="170" t="n"/>
      <c r="P10" s="170" t="n"/>
      <c r="Q10" s="170" t="n">
        <v>894</v>
      </c>
      <c r="R10" s="170" t="n">
        <v>658</v>
      </c>
      <c r="S10" s="235" t="n">
        <v>743.22</v>
      </c>
      <c r="T10" s="235" t="n">
        <v>775.45</v>
      </c>
      <c r="V10" s="237" t="n"/>
      <c r="W10" s="238" t="n"/>
    </row>
    <row r="11" ht="15" customHeight="1">
      <c r="B11" s="163" t="inlineStr">
        <is>
          <t xml:space="preserve">TV + Digital Frequencies MoM </t>
        </is>
      </c>
      <c r="C11" s="163" t="n"/>
      <c r="D11" s="163" t="n"/>
      <c r="E11" s="233" t="n"/>
      <c r="F11" s="233" t="n"/>
      <c r="G11" s="233" t="n"/>
      <c r="H11" s="233" t="n"/>
      <c r="I11" s="233" t="n"/>
      <c r="J11" s="233" t="n"/>
      <c r="K11" s="233" t="n"/>
      <c r="L11" s="233" t="n"/>
      <c r="M11" s="233" t="n"/>
      <c r="N11" s="233" t="n"/>
      <c r="O11" s="233" t="n"/>
      <c r="P11" s="233" t="n"/>
      <c r="Q11" s="233" t="inlineStr">
        <is>
          <t xml:space="preserve">13-16 </t>
        </is>
      </c>
      <c r="R11" s="233" t="n">
        <v>11</v>
      </c>
      <c r="S11" s="233" t="n">
        <v>12</v>
      </c>
      <c r="T11" s="236" t="n">
        <v>13</v>
      </c>
    </row>
    <row r="12" ht="15" customHeight="1">
      <c r="B12" s="163" t="inlineStr">
        <is>
          <t>Share of Impressions</t>
        </is>
      </c>
      <c r="C12" s="163" t="inlineStr">
        <is>
          <t>Vtion</t>
        </is>
      </c>
      <c r="D12" s="163" t="inlineStr">
        <is>
          <t>Meta + YouTube (No OTT)</t>
        </is>
      </c>
      <c r="E12" s="240" t="n">
        <v>0.5600000000000001</v>
      </c>
      <c r="F12" s="240" t="n">
        <v>0.4</v>
      </c>
      <c r="G12" s="240" t="n">
        <v>0.42</v>
      </c>
      <c r="H12" s="240" t="n">
        <v>0.54</v>
      </c>
      <c r="I12" s="240" t="n">
        <v>0.25</v>
      </c>
      <c r="J12" s="240" t="n">
        <v>0.36</v>
      </c>
      <c r="K12" s="240" t="n">
        <v>0.5600000000000001</v>
      </c>
      <c r="L12" s="240" t="n">
        <v>0.43</v>
      </c>
      <c r="M12" s="240" t="n">
        <v>0.24</v>
      </c>
      <c r="N12" s="240" t="n">
        <v>0.39</v>
      </c>
      <c r="O12" s="240" t="n">
        <v>0.37</v>
      </c>
      <c r="P12" s="164" t="n">
        <v>0.49</v>
      </c>
      <c r="Q12" s="164" t="n">
        <v>0.39</v>
      </c>
      <c r="R12" s="240" t="n">
        <v>0.54</v>
      </c>
      <c r="S12" s="240" t="n">
        <v>0.32</v>
      </c>
      <c r="T12" s="240" t="n">
        <v>0.48</v>
      </c>
    </row>
    <row r="13" ht="15" customHeight="1">
      <c r="B13" s="163" t="inlineStr">
        <is>
          <t>Share of Search</t>
        </is>
      </c>
      <c r="C13" s="163" t="inlineStr">
        <is>
          <t xml:space="preserve">Google </t>
        </is>
      </c>
      <c r="D13" s="163" t="inlineStr">
        <is>
          <t>Google + YT Search</t>
        </is>
      </c>
      <c r="E13" s="249" t="n">
        <v>0.93</v>
      </c>
      <c r="F13" s="249" t="n">
        <v>0.92</v>
      </c>
      <c r="G13" s="249" t="n">
        <v>0.79</v>
      </c>
      <c r="H13" s="249" t="n">
        <v>0.87</v>
      </c>
      <c r="I13" s="249" t="n">
        <v>0.84</v>
      </c>
      <c r="J13" s="249" t="n">
        <v>0.82</v>
      </c>
      <c r="K13" s="249" t="n">
        <v>0.75</v>
      </c>
      <c r="L13" s="249" t="n">
        <v>0.9</v>
      </c>
      <c r="M13" s="249" t="n">
        <v>0.9399999999999999</v>
      </c>
      <c r="N13" s="249" t="n">
        <v>0.83</v>
      </c>
      <c r="O13" s="249" t="n">
        <v>0.8</v>
      </c>
      <c r="P13" s="249" t="n">
        <v>0.77</v>
      </c>
      <c r="Q13" s="249" t="n">
        <v>0.87</v>
      </c>
      <c r="R13" s="240" t="n">
        <v>0.78</v>
      </c>
      <c r="S13" s="240" t="n">
        <v>0.7</v>
      </c>
      <c r="T13" s="239" t="n">
        <v>0.9</v>
      </c>
    </row>
    <row r="14" hidden="1" ht="15" customHeight="1">
      <c r="B14" s="163" t="inlineStr">
        <is>
          <t>Share of Engagement Instagram + FB</t>
        </is>
      </c>
      <c r="C14" s="163" t="inlineStr">
        <is>
          <t>Kinnect</t>
        </is>
      </c>
      <c r="D14" s="163" t="n"/>
      <c r="E14" s="233" t="n"/>
      <c r="F14" s="233" t="n"/>
      <c r="G14" s="233" t="n"/>
      <c r="H14" s="233" t="n"/>
      <c r="I14" s="233" t="n"/>
      <c r="J14" s="233" t="n"/>
      <c r="K14" s="233" t="n"/>
      <c r="L14" s="233" t="n"/>
      <c r="M14" s="233" t="n"/>
      <c r="N14" s="233" t="n"/>
      <c r="O14" s="233" t="n"/>
      <c r="P14" s="233" t="n"/>
      <c r="Q14" s="163" t="n"/>
      <c r="R14" s="233" t="n"/>
      <c r="S14" s="233" t="n"/>
      <c r="T14" s="233" t="n"/>
    </row>
    <row r="15" hidden="1" ht="15" customHeight="1">
      <c r="B15" s="163" t="inlineStr">
        <is>
          <t>Include Brand Power</t>
        </is>
      </c>
      <c r="C15" s="163" t="n"/>
      <c r="D15" s="163" t="n"/>
      <c r="E15" s="233" t="n"/>
      <c r="F15" s="233" t="n"/>
      <c r="G15" s="233" t="n"/>
      <c r="H15" s="233" t="n"/>
      <c r="I15" s="233" t="n"/>
      <c r="J15" s="233" t="n"/>
      <c r="K15" s="233" t="n"/>
      <c r="L15" s="233" t="n"/>
      <c r="M15" s="233" t="n"/>
      <c r="N15" s="233" t="n"/>
      <c r="O15" s="233" t="n"/>
      <c r="P15" s="233" t="n"/>
      <c r="Q15" s="163" t="n"/>
      <c r="R15" s="233" t="n"/>
      <c r="S15" s="233" t="n"/>
      <c r="T15" s="233" t="n"/>
    </row>
    <row r="16" hidden="1" ht="15" customHeight="1">
      <c r="B16" s="163" t="inlineStr">
        <is>
          <t>Share of Conversations</t>
        </is>
      </c>
      <c r="C16" s="163" t="inlineStr">
        <is>
          <t>Avalon</t>
        </is>
      </c>
      <c r="D16" s="163" t="inlineStr">
        <is>
          <t>All Platforms where AP / Comp tagged</t>
        </is>
      </c>
      <c r="E16" s="233" t="n"/>
      <c r="F16" s="233" t="n"/>
      <c r="G16" s="233" t="n"/>
      <c r="H16" s="233" t="n"/>
      <c r="I16" s="233" t="n"/>
      <c r="J16" s="233" t="n"/>
      <c r="K16" s="233" t="n"/>
      <c r="L16" s="233" t="n"/>
      <c r="M16" s="233" t="n"/>
      <c r="N16" s="233" t="n"/>
      <c r="O16" s="233" t="n"/>
      <c r="P16" s="233" t="n"/>
      <c r="Q16" s="163" t="n"/>
      <c r="R16" s="233" t="n"/>
      <c r="S16" s="233" t="n"/>
      <c r="T16" s="233" t="n"/>
    </row>
    <row r="17" ht="15" customHeight="1">
      <c r="B17" s="163" t="inlineStr">
        <is>
          <t xml:space="preserve">Website Traffic </t>
        </is>
      </c>
      <c r="C17" s="163" t="inlineStr">
        <is>
          <t>Similar Web</t>
        </is>
      </c>
      <c r="D17" s="163" t="n"/>
      <c r="E17" s="233" t="n">
        <v>3219118.05</v>
      </c>
      <c r="F17" s="233" t="n">
        <v>3704327.81</v>
      </c>
      <c r="G17" s="233" t="n">
        <v>2927499.24</v>
      </c>
      <c r="H17" s="233" t="n">
        <v>2736431.37</v>
      </c>
      <c r="I17" s="233" t="n">
        <v>3111159.44</v>
      </c>
      <c r="J17" s="233" t="n">
        <v>3282266.24</v>
      </c>
      <c r="K17" s="233" t="n">
        <v>4813401.24</v>
      </c>
      <c r="L17" s="233" t="n">
        <v>3514592.25</v>
      </c>
      <c r="M17" s="233" t="n">
        <v>4340330.85</v>
      </c>
      <c r="N17" s="233" t="n">
        <v>3265375.18</v>
      </c>
      <c r="O17" s="233" t="n">
        <v>3590539.89</v>
      </c>
      <c r="P17" s="173" t="n">
        <v>4201978.57</v>
      </c>
      <c r="Q17" s="173" t="n">
        <v>38409358.14</v>
      </c>
      <c r="R17" s="233" t="n">
        <v>3699778</v>
      </c>
      <c r="S17" s="233" t="n">
        <v>2962887</v>
      </c>
      <c r="T17" s="233" t="n">
        <v>3402984</v>
      </c>
    </row>
    <row r="18" ht="15" customHeight="1">
      <c r="B18" s="163" t="inlineStr">
        <is>
          <t>AI Traffic</t>
        </is>
      </c>
      <c r="C18" s="163" t="inlineStr">
        <is>
          <t>Similar Web</t>
        </is>
      </c>
      <c r="D18" s="163" t="n"/>
      <c r="E18" s="233" t="n">
        <v>29767</v>
      </c>
      <c r="F18" s="233" t="n">
        <v>39770</v>
      </c>
      <c r="G18" s="233" t="n">
        <v>34977</v>
      </c>
      <c r="H18" s="233" t="n">
        <v>33225</v>
      </c>
      <c r="I18" s="233" t="n">
        <v>15390</v>
      </c>
      <c r="J18" s="233" t="n">
        <v>28345</v>
      </c>
      <c r="K18" s="233" t="n">
        <v>7863</v>
      </c>
      <c r="L18" s="233" t="n">
        <v>32949</v>
      </c>
      <c r="M18" s="233" t="n">
        <v>25681</v>
      </c>
      <c r="N18" s="233" t="n">
        <v>22766</v>
      </c>
      <c r="O18" s="233" t="n">
        <v>26030</v>
      </c>
      <c r="P18" s="233" t="n">
        <v>14947</v>
      </c>
      <c r="Q18" s="173" t="n">
        <v>282062</v>
      </c>
      <c r="R18" s="233" t="n">
        <v>30051</v>
      </c>
      <c r="S18" s="233" t="n">
        <v>36311</v>
      </c>
      <c r="T18" s="233" t="inlineStr">
        <is>
          <t>-</t>
        </is>
      </c>
    </row>
    <row r="19" ht="15" customHeight="1">
      <c r="B19" s="163" t="inlineStr">
        <is>
          <t>AI SoS</t>
        </is>
      </c>
      <c r="C19" s="163" t="inlineStr">
        <is>
          <t>Similar Web</t>
        </is>
      </c>
      <c r="D19" s="163" t="inlineStr">
        <is>
          <t>AI</t>
        </is>
      </c>
      <c r="E19" s="240" t="n">
        <v>1.03</v>
      </c>
      <c r="F19" s="240" t="n">
        <v>0.77</v>
      </c>
      <c r="G19" s="240" t="n">
        <v>0.9399999999999999</v>
      </c>
      <c r="H19" s="240" t="n">
        <v>0.89</v>
      </c>
      <c r="I19" s="240" t="n">
        <v>0.99</v>
      </c>
      <c r="J19" s="240" t="n">
        <v>1.02</v>
      </c>
      <c r="K19" s="240" t="n">
        <v>0.32</v>
      </c>
      <c r="L19" s="240" t="n">
        <v>0.97</v>
      </c>
      <c r="M19" s="240" t="n">
        <v>0.59</v>
      </c>
      <c r="N19" s="240" t="n">
        <v>0.74</v>
      </c>
      <c r="O19" s="240" t="n">
        <v>0.91</v>
      </c>
      <c r="P19" s="164" t="n">
        <v>0.72</v>
      </c>
      <c r="Q19" s="164" t="n">
        <v>0.95</v>
      </c>
      <c r="R19" s="240" t="n">
        <v>0.9399999999999999</v>
      </c>
      <c r="S19" s="240" t="n">
        <v>0.91</v>
      </c>
      <c r="T19" s="240" t="n">
        <v>0.9</v>
      </c>
    </row>
    <row r="20" ht="15" customHeight="1">
      <c r="B20" s="163" t="inlineStr">
        <is>
          <t>Asian Paints Paid Search Traffic</t>
        </is>
      </c>
      <c r="C20" s="163" t="inlineStr">
        <is>
          <t>Similar Web</t>
        </is>
      </c>
      <c r="D20" s="163" t="inlineStr">
        <is>
          <t>Google Search</t>
        </is>
      </c>
      <c r="E20" s="250" t="n">
        <v>348037.62</v>
      </c>
      <c r="F20" s="250" t="n">
        <v>337231.09</v>
      </c>
      <c r="G20" s="250" t="n">
        <v>357879.27</v>
      </c>
      <c r="H20" s="250" t="n">
        <v>304497.55</v>
      </c>
      <c r="I20" s="250" t="n">
        <v>388393.64</v>
      </c>
      <c r="J20" s="250" t="n">
        <v>394390.85</v>
      </c>
      <c r="K20" s="250" t="n">
        <v>390447.06</v>
      </c>
      <c r="L20" s="250" t="n">
        <v>419531.74</v>
      </c>
      <c r="M20" s="250" t="n">
        <v>378298.22</v>
      </c>
      <c r="N20" s="250" t="n">
        <v>389729.83</v>
      </c>
      <c r="O20" s="250" t="n">
        <v>375702.58</v>
      </c>
      <c r="P20" s="175" t="n">
        <v>412536</v>
      </c>
      <c r="Q20" s="173" t="n">
        <v>4644162.3</v>
      </c>
      <c r="R20" s="250" t="n">
        <v>199300.73</v>
      </c>
      <c r="S20" s="250" t="n">
        <v>152881.07</v>
      </c>
      <c r="T20" s="250" t="n">
        <v>305680.29</v>
      </c>
    </row>
    <row r="21" ht="15" customHeight="1">
      <c r="B21" s="163" t="inlineStr">
        <is>
          <t>Asian Paints Paid Search Contribution</t>
        </is>
      </c>
      <c r="C21" s="163" t="inlineStr">
        <is>
          <t>Similar Web</t>
        </is>
      </c>
      <c r="D21" s="163" t="inlineStr">
        <is>
          <t>Google Search</t>
        </is>
      </c>
      <c r="E21" s="240" t="n">
        <v>0.09</v>
      </c>
      <c r="F21" s="240" t="n">
        <v>0.11</v>
      </c>
      <c r="G21" s="240" t="n">
        <v>0.13</v>
      </c>
      <c r="H21" s="240" t="n">
        <v>0.1</v>
      </c>
      <c r="I21" s="240" t="n">
        <v>0.11</v>
      </c>
      <c r="J21" s="240" t="n">
        <v>0.1</v>
      </c>
      <c r="K21" s="240" t="n">
        <v>0.09</v>
      </c>
      <c r="L21" s="240" t="n">
        <v>0.12</v>
      </c>
      <c r="M21" s="240" t="n">
        <v>0.1</v>
      </c>
      <c r="N21" s="240" t="n">
        <v>0.1</v>
      </c>
      <c r="O21" s="240" t="n">
        <v>0.12</v>
      </c>
      <c r="P21" s="240" t="n">
        <v>0.11</v>
      </c>
      <c r="Q21" s="164" t="n">
        <v>0.12</v>
      </c>
      <c r="R21" s="249" t="n">
        <v>0.04</v>
      </c>
      <c r="S21" s="249" t="n">
        <v>0.05</v>
      </c>
      <c r="T21" s="249" t="n">
        <v>0.04</v>
      </c>
    </row>
    <row r="22" ht="15" customHeight="1">
      <c r="B22" s="163" t="inlineStr">
        <is>
          <t>Opus Paid Search Traffic</t>
        </is>
      </c>
      <c r="C22" s="163" t="inlineStr">
        <is>
          <t>Similar Web</t>
        </is>
      </c>
      <c r="D22" s="163" t="inlineStr">
        <is>
          <t>Google Search</t>
        </is>
      </c>
      <c r="E22" s="250" t="n">
        <v>240139.94</v>
      </c>
      <c r="F22" s="250" t="n">
        <v>206771.77</v>
      </c>
      <c r="G22" s="250" t="n">
        <v>242701.23</v>
      </c>
      <c r="H22" s="250" t="n">
        <v>209418.53</v>
      </c>
      <c r="I22" s="250" t="n">
        <v>114201.92</v>
      </c>
      <c r="J22" s="250" t="n">
        <v>82340.36</v>
      </c>
      <c r="K22" s="250" t="n">
        <v>114426.86</v>
      </c>
      <c r="L22" s="250" t="n">
        <v>65097.72</v>
      </c>
      <c r="M22" s="250" t="n">
        <v>129628.07</v>
      </c>
      <c r="N22" s="250" t="n">
        <v>99329.56</v>
      </c>
      <c r="O22" s="250" t="n">
        <v>125246.76</v>
      </c>
      <c r="P22" s="251" t="n">
        <v>95656</v>
      </c>
      <c r="Q22" s="173" t="n">
        <v>1841708.42</v>
      </c>
      <c r="R22" s="250" t="n">
        <v>16246.7</v>
      </c>
      <c r="S22" s="250" t="n">
        <v>10154.36</v>
      </c>
      <c r="T22" s="250" t="n">
        <v>25981.79</v>
      </c>
    </row>
    <row r="23" ht="15" customHeight="1">
      <c r="B23" s="163" t="inlineStr">
        <is>
          <t>Opus Paid Search Contribution</t>
        </is>
      </c>
      <c r="C23" s="163" t="inlineStr">
        <is>
          <t>Similar Web</t>
        </is>
      </c>
      <c r="D23" s="163" t="inlineStr">
        <is>
          <t>Google Search</t>
        </is>
      </c>
      <c r="E23" s="240" t="n">
        <v>0.34</v>
      </c>
      <c r="F23" s="240" t="n">
        <v>0.39</v>
      </c>
      <c r="G23" s="240" t="n">
        <v>0.38</v>
      </c>
      <c r="H23" s="240" t="n">
        <v>0.39</v>
      </c>
      <c r="I23" s="240" t="n">
        <v>0.3</v>
      </c>
      <c r="J23" s="240" t="n">
        <v>0.24</v>
      </c>
      <c r="K23" s="240" t="n">
        <v>0.26</v>
      </c>
      <c r="L23" s="240" t="n">
        <v>0.28</v>
      </c>
      <c r="M23" s="240" t="n">
        <v>0.37</v>
      </c>
      <c r="N23" s="240" t="n">
        <v>0.39</v>
      </c>
      <c r="O23" s="240" t="n">
        <v>0.38</v>
      </c>
      <c r="P23" s="240" t="n">
        <v>0.32</v>
      </c>
      <c r="Q23" s="164" t="n">
        <v>0.29</v>
      </c>
      <c r="R23" s="249" t="n">
        <v>0.05</v>
      </c>
      <c r="S23" s="249" t="n">
        <v>0.05</v>
      </c>
      <c r="T23" s="249" t="n">
        <v>0.05</v>
      </c>
    </row>
    <row r="24" ht="15" customHeight="1">
      <c r="B24" s="163" t="inlineStr">
        <is>
          <t xml:space="preserve">AP Paid SOS </t>
        </is>
      </c>
      <c r="C24" s="163" t="n"/>
      <c r="D24" s="178" t="n"/>
      <c r="E24" s="240" t="n">
        <v>0.64</v>
      </c>
      <c r="F24" s="240" t="n">
        <v>0.63</v>
      </c>
      <c r="G24" s="240" t="n">
        <v>0.54</v>
      </c>
      <c r="H24" s="240" t="n">
        <v>0.63</v>
      </c>
      <c r="I24" s="240" t="n">
        <v>0.8</v>
      </c>
      <c r="J24" s="240" t="n">
        <v>0.74</v>
      </c>
      <c r="K24" s="240" t="n">
        <v>0.76</v>
      </c>
      <c r="L24" s="240" t="n">
        <v>0.85</v>
      </c>
      <c r="M24" s="240" t="n">
        <v>0.67</v>
      </c>
      <c r="N24" s="240" t="n">
        <v>0.79</v>
      </c>
      <c r="O24" s="240" t="n">
        <v>0.65</v>
      </c>
      <c r="P24" s="240" t="n">
        <v>0.79</v>
      </c>
      <c r="Q24" s="164" t="n">
        <v>0.6899999999999999</v>
      </c>
      <c r="R24" s="240">
        <f>R20/SUM(R20,R22)</f>
        <v/>
      </c>
      <c r="S24" s="240">
        <f>S20/SUM(S20,S22)</f>
        <v/>
      </c>
      <c r="T24" s="240">
        <f>T20/SUM(T20,T22)</f>
        <v/>
      </c>
    </row>
    <row r="25" ht="15" customHeight="1">
      <c r="B25" s="163" t="inlineStr">
        <is>
          <t>GA-4 Reach</t>
        </is>
      </c>
      <c r="C25" s="163" t="inlineStr">
        <is>
          <t>Google Analytics</t>
        </is>
      </c>
      <c r="D25" s="163" t="n"/>
      <c r="E25" s="233" t="n"/>
      <c r="F25" s="233" t="n"/>
      <c r="G25" s="233" t="n"/>
      <c r="H25" s="233" t="n"/>
      <c r="I25" s="233" t="n"/>
      <c r="J25" s="233" t="n"/>
      <c r="K25" s="233" t="n"/>
      <c r="L25" s="233" t="n"/>
      <c r="M25" s="233" t="n"/>
      <c r="N25" s="233" t="n"/>
      <c r="O25" s="233" t="n"/>
      <c r="P25" s="233" t="n"/>
      <c r="Q25" s="163" t="n"/>
      <c r="R25" s="251" t="inlineStr">
        <is>
          <t>-</t>
        </is>
      </c>
      <c r="S25" s="251" t="n">
        <v>127062</v>
      </c>
      <c r="T25" s="251" t="n">
        <v>112089</v>
      </c>
    </row>
    <row r="26" ht="15" customHeight="1">
      <c r="B26" s="163" t="inlineStr">
        <is>
          <t xml:space="preserve">1P Data Outreach </t>
        </is>
      </c>
      <c r="C26" s="163" t="inlineStr">
        <is>
          <t>Madison via Google / Meta</t>
        </is>
      </c>
      <c r="D26" s="163" t="n"/>
      <c r="E26" s="233" t="n"/>
      <c r="F26" s="233" t="n"/>
      <c r="G26" s="233" t="n"/>
      <c r="H26" s="233" t="n"/>
      <c r="I26" s="233" t="n"/>
      <c r="J26" s="233" t="n"/>
      <c r="K26" s="233" t="n"/>
      <c r="L26" s="233" t="n"/>
      <c r="M26" s="233" t="n"/>
      <c r="N26" s="233" t="n"/>
      <c r="O26" s="233" t="n"/>
      <c r="P26" s="233" t="n"/>
      <c r="Q26" s="163" t="n"/>
      <c r="R26" s="251" t="n">
        <v>116356</v>
      </c>
      <c r="S26" s="251" t="n">
        <v>181202</v>
      </c>
      <c r="T26" s="251" t="n">
        <v>181447.39</v>
      </c>
      <c r="V26" s="252" t="n"/>
    </row>
    <row r="27"/>
    <row r="28" ht="30" customHeight="1">
      <c r="B28" s="198" t="inlineStr">
        <is>
          <t>BHPS performance overview</t>
        </is>
      </c>
      <c r="C28" s="198" t="inlineStr">
        <is>
          <t xml:space="preserve">Platform and CRM </t>
        </is>
      </c>
      <c r="D28" s="195" t="inlineStr">
        <is>
          <t>Google and Meta is 97% contribution</t>
        </is>
      </c>
      <c r="E28" s="196" t="n"/>
      <c r="F28" s="196" t="n"/>
      <c r="G28" s="196" t="n"/>
      <c r="H28" s="196" t="n"/>
      <c r="I28" s="196" t="n"/>
      <c r="J28" s="196" t="n"/>
      <c r="K28" s="196" t="n"/>
      <c r="L28" s="196" t="n"/>
      <c r="M28" s="196" t="n"/>
      <c r="N28" s="196" t="n"/>
      <c r="O28" s="196" t="n"/>
      <c r="P28" s="196" t="n"/>
      <c r="Q28" s="196" t="n"/>
      <c r="R28" s="196" t="n"/>
      <c r="S28" s="196" t="n"/>
      <c r="T28" s="196" t="n"/>
    </row>
    <row r="29" ht="15" customHeight="1">
      <c r="B29" s="253" t="n"/>
      <c r="C29" s="253" t="n"/>
      <c r="D29" s="198" t="inlineStr">
        <is>
          <t>Raw Leads</t>
        </is>
      </c>
      <c r="E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  <c r="P29" s="196" t="n"/>
      <c r="Q29" s="196" t="n">
        <v>913000</v>
      </c>
      <c r="R29" s="196" t="n">
        <v>56856</v>
      </c>
      <c r="S29" s="196" t="n">
        <v>63748</v>
      </c>
      <c r="T29" s="196" t="n">
        <v>59853</v>
      </c>
    </row>
    <row r="30" ht="15" customHeight="1">
      <c r="B30" s="253" t="n"/>
      <c r="C30" s="253" t="n"/>
      <c r="D30" s="198" t="inlineStr">
        <is>
          <t>CRM Leads</t>
        </is>
      </c>
      <c r="E30" s="196" t="n"/>
      <c r="F30" s="196" t="n"/>
      <c r="G30" s="196" t="n"/>
      <c r="H30" s="196" t="n"/>
      <c r="I30" s="196" t="n"/>
      <c r="J30" s="196" t="n"/>
      <c r="K30" s="196" t="n"/>
      <c r="L30" s="196" t="n"/>
      <c r="M30" s="196" t="n"/>
      <c r="N30" s="196" t="n"/>
      <c r="O30" s="196" t="n"/>
      <c r="P30" s="196" t="n"/>
      <c r="Q30" s="196" t="n">
        <v>183229</v>
      </c>
      <c r="R30" s="196" t="n">
        <v>17430</v>
      </c>
      <c r="S30" s="196" t="n">
        <v>16070</v>
      </c>
      <c r="T30" s="196" t="n">
        <v>15739</v>
      </c>
    </row>
    <row r="31" ht="15" customHeight="1">
      <c r="B31" s="253" t="n"/>
      <c r="C31" s="253" t="n"/>
      <c r="D31" s="198" t="inlineStr">
        <is>
          <t>Quality%</t>
        </is>
      </c>
      <c r="E31" s="196" t="n"/>
      <c r="F31" s="196" t="n"/>
      <c r="G31" s="196" t="n"/>
      <c r="H31" s="196" t="n"/>
      <c r="I31" s="196" t="n"/>
      <c r="J31" s="196" t="n"/>
      <c r="K31" s="196" t="n"/>
      <c r="L31" s="196" t="n"/>
      <c r="M31" s="196" t="n"/>
      <c r="N31" s="196" t="n"/>
      <c r="O31" s="196" t="n"/>
      <c r="P31" s="196" t="n"/>
      <c r="Q31" s="199" t="n">
        <v>0.2</v>
      </c>
      <c r="R31" s="199" t="n">
        <v>0.33</v>
      </c>
      <c r="S31" s="199" t="n">
        <v>0.28</v>
      </c>
      <c r="T31" s="199" t="n">
        <v>0.26</v>
      </c>
    </row>
    <row r="32" ht="15" customHeight="1">
      <c r="B32" s="253" t="n"/>
      <c r="C32" s="253" t="n"/>
      <c r="D32" s="198" t="inlineStr">
        <is>
          <t>Raw CPL</t>
        </is>
      </c>
      <c r="E32" s="196" t="n"/>
      <c r="F32" s="196" t="n"/>
      <c r="G32" s="196" t="n"/>
      <c r="H32" s="196" t="n"/>
      <c r="I32" s="196" t="n"/>
      <c r="J32" s="196" t="n"/>
      <c r="K32" s="196" t="n"/>
      <c r="L32" s="196" t="n"/>
      <c r="M32" s="196" t="n"/>
      <c r="N32" s="196" t="n"/>
      <c r="O32" s="196" t="n"/>
      <c r="P32" s="196" t="n"/>
      <c r="Q32" s="200" t="n">
        <v>561.17</v>
      </c>
      <c r="R32" s="200" t="n">
        <v>502.3</v>
      </c>
      <c r="S32" s="200" t="n">
        <v>523.3099999999999</v>
      </c>
      <c r="T32" s="200" t="n">
        <v>602.89</v>
      </c>
    </row>
    <row r="33" ht="15" customHeight="1">
      <c r="B33" s="254" t="n"/>
      <c r="C33" s="254" t="n"/>
      <c r="D33" s="198" t="inlineStr">
        <is>
          <t>CRM CPL</t>
        </is>
      </c>
      <c r="E33" s="196" t="n"/>
      <c r="F33" s="196" t="n"/>
      <c r="G33" s="196" t="n"/>
      <c r="H33" s="196" t="n"/>
      <c r="I33" s="196" t="n"/>
      <c r="J33" s="196" t="n"/>
      <c r="K33" s="196" t="n"/>
      <c r="L33" s="196" t="n"/>
      <c r="M33" s="196" t="n"/>
      <c r="N33" s="196" t="n"/>
      <c r="O33" s="196" t="n"/>
      <c r="P33" s="196" t="n"/>
      <c r="Q33" s="200" t="n">
        <v>2334.97</v>
      </c>
      <c r="R33" s="200" t="n">
        <v>1632.49</v>
      </c>
      <c r="S33" s="200" t="n">
        <v>1744.27</v>
      </c>
      <c r="T33" s="200" t="n">
        <v>1900.46</v>
      </c>
    </row>
    <row r="34" ht="15" customHeight="1">
      <c r="B34" s="198" t="inlineStr">
        <is>
          <t>SMC performance overview</t>
        </is>
      </c>
      <c r="C34" s="198" t="inlineStr">
        <is>
          <t xml:space="preserve">Platform and CRM </t>
        </is>
      </c>
      <c r="D34" s="195" t="inlineStr">
        <is>
          <t>Google and Meta</t>
        </is>
      </c>
      <c r="E34" s="196" t="n"/>
      <c r="F34" s="196" t="n"/>
      <c r="G34" s="196" t="n"/>
      <c r="H34" s="196" t="n"/>
      <c r="I34" s="196" t="n"/>
      <c r="J34" s="196" t="n"/>
      <c r="K34" s="196" t="n"/>
      <c r="L34" s="196" t="n"/>
      <c r="M34" s="196" t="n"/>
      <c r="N34" s="196" t="n"/>
      <c r="O34" s="196" t="n"/>
      <c r="P34" s="196" t="n"/>
      <c r="Q34" s="196" t="n"/>
      <c r="R34" s="196" t="n"/>
      <c r="S34" s="196" t="n"/>
      <c r="T34" s="196" t="n"/>
    </row>
    <row r="35" ht="15" customHeight="1">
      <c r="B35" s="253" t="n"/>
      <c r="C35" s="253" t="n"/>
      <c r="D35" s="198" t="inlineStr">
        <is>
          <t>Raw Leads</t>
        </is>
      </c>
      <c r="E35" s="196" t="n"/>
      <c r="F35" s="196" t="n"/>
      <c r="G35" s="196" t="n"/>
      <c r="H35" s="196" t="n"/>
      <c r="I35" s="196" t="n"/>
      <c r="J35" s="196" t="n"/>
      <c r="K35" s="196" t="n"/>
      <c r="L35" s="196" t="n"/>
      <c r="M35" s="196" t="n"/>
      <c r="N35" s="196" t="n"/>
      <c r="O35" s="196" t="n"/>
      <c r="P35" s="196" t="n"/>
      <c r="Q35" s="196" t="n">
        <v>156585</v>
      </c>
      <c r="R35" s="196" t="n">
        <v>11922</v>
      </c>
      <c r="S35" s="196" t="n">
        <v>9703</v>
      </c>
      <c r="T35" s="196" t="n">
        <v>10114</v>
      </c>
    </row>
    <row r="36" ht="15" customHeight="1">
      <c r="B36" s="253" t="n"/>
      <c r="C36" s="253" t="n"/>
      <c r="D36" s="198" t="inlineStr">
        <is>
          <t>CRM Leads</t>
        </is>
      </c>
      <c r="E36" s="196" t="n"/>
      <c r="F36" s="196" t="n"/>
      <c r="G36" s="196" t="n"/>
      <c r="H36" s="196" t="n"/>
      <c r="I36" s="196" t="n"/>
      <c r="J36" s="196" t="n"/>
      <c r="K36" s="196" t="n"/>
      <c r="L36" s="196" t="n"/>
      <c r="M36" s="196" t="n"/>
      <c r="N36" s="196" t="n"/>
      <c r="O36" s="196" t="n"/>
      <c r="P36" s="196" t="n"/>
      <c r="Q36" s="196" t="n">
        <v>38482</v>
      </c>
      <c r="R36" s="196" t="n">
        <v>3702</v>
      </c>
      <c r="S36" s="196" t="n">
        <v>2807</v>
      </c>
      <c r="T36" s="196" t="n">
        <v>3083</v>
      </c>
    </row>
    <row r="37" ht="15" customHeight="1">
      <c r="B37" s="253" t="n"/>
      <c r="C37" s="253" t="n"/>
      <c r="D37" s="198" t="inlineStr">
        <is>
          <t>Quality%</t>
        </is>
      </c>
      <c r="E37" s="196" t="n"/>
      <c r="F37" s="196" t="n"/>
      <c r="G37" s="196" t="n"/>
      <c r="H37" s="196" t="n"/>
      <c r="I37" s="196" t="n"/>
      <c r="J37" s="196" t="n"/>
      <c r="K37" s="196" t="n"/>
      <c r="L37" s="196" t="n"/>
      <c r="M37" s="196" t="n"/>
      <c r="N37" s="196" t="n"/>
      <c r="O37" s="196" t="n"/>
      <c r="P37" s="196" t="n"/>
      <c r="Q37" s="199" t="n">
        <v>0.25</v>
      </c>
      <c r="R37" s="199" t="n">
        <v>0.32</v>
      </c>
      <c r="S37" s="199" t="n">
        <v>0.25</v>
      </c>
      <c r="T37" s="199" t="n">
        <v>0.27</v>
      </c>
    </row>
    <row r="38" ht="15" customHeight="1">
      <c r="B38" s="253" t="n"/>
      <c r="C38" s="253" t="n"/>
      <c r="D38" s="198" t="inlineStr">
        <is>
          <t>Raw CPL</t>
        </is>
      </c>
      <c r="E38" s="196" t="n"/>
      <c r="F38" s="196" t="n"/>
      <c r="G38" s="196" t="n"/>
      <c r="H38" s="196" t="n"/>
      <c r="I38" s="196" t="n"/>
      <c r="J38" s="196" t="n"/>
      <c r="K38" s="196" t="n"/>
      <c r="L38" s="196" t="n"/>
      <c r="M38" s="196" t="n"/>
      <c r="N38" s="196" t="n"/>
      <c r="O38" s="196" t="n"/>
      <c r="P38" s="196" t="n"/>
      <c r="Q38" s="200" t="n">
        <v>352.17</v>
      </c>
      <c r="R38" s="200" t="n">
        <v>320.49</v>
      </c>
      <c r="S38" s="200" t="n">
        <v>318.19</v>
      </c>
      <c r="T38" s="200" t="n">
        <v>357.71</v>
      </c>
    </row>
    <row r="39" ht="15" customHeight="1">
      <c r="B39" s="254" t="n"/>
      <c r="C39" s="254" t="n"/>
      <c r="D39" s="198" t="inlineStr">
        <is>
          <t>CRM CPL</t>
        </is>
      </c>
      <c r="E39" s="196" t="n"/>
      <c r="F39" s="196" t="n"/>
      <c r="G39" s="196" t="n"/>
      <c r="H39" s="196" t="n"/>
      <c r="I39" s="196" t="n"/>
      <c r="J39" s="196" t="n"/>
      <c r="K39" s="196" t="n"/>
      <c r="L39" s="196" t="n"/>
      <c r="M39" s="196" t="n"/>
      <c r="N39" s="196" t="n"/>
      <c r="O39" s="196" t="n"/>
      <c r="P39" s="196" t="n"/>
      <c r="Q39" s="200" t="n">
        <v>1114.82</v>
      </c>
      <c r="R39" s="200" t="n">
        <v>920.3200000000001</v>
      </c>
      <c r="S39" s="200" t="n">
        <v>1074.84</v>
      </c>
      <c r="T39" s="200" t="n">
        <v>1112.3</v>
      </c>
    </row>
    <row r="40"/>
    <row r="41">
      <c r="B41" s="87" t="inlineStr">
        <is>
          <t>Newly Added</t>
        </is>
      </c>
      <c r="C41" s="83" t="inlineStr">
        <is>
          <t>April'25</t>
        </is>
      </c>
      <c r="D41" s="83" t="inlineStr">
        <is>
          <t>May'25</t>
        </is>
      </c>
      <c r="E41" s="83" t="inlineStr">
        <is>
          <t>Jun</t>
        </is>
      </c>
      <c r="F41" s="83" t="inlineStr">
        <is>
          <t>Jul</t>
        </is>
      </c>
      <c r="G41" s="83" t="inlineStr">
        <is>
          <t>Aug</t>
        </is>
      </c>
      <c r="H41" s="83" t="inlineStr">
        <is>
          <t>Sep</t>
        </is>
      </c>
      <c r="I41" s="83" t="inlineStr">
        <is>
          <t>Oct</t>
        </is>
      </c>
      <c r="J41" s="83" t="inlineStr">
        <is>
          <t>Nov</t>
        </is>
      </c>
      <c r="K41" s="83" t="inlineStr">
        <is>
          <t>Dec</t>
        </is>
      </c>
      <c r="L41" s="83" t="inlineStr">
        <is>
          <t>Jan</t>
        </is>
      </c>
      <c r="M41" s="83" t="inlineStr">
        <is>
          <t>Feb</t>
        </is>
      </c>
      <c r="N41" s="83" t="inlineStr">
        <is>
          <t>Mar</t>
        </is>
      </c>
      <c r="O41" s="83" t="inlineStr">
        <is>
          <t>Total</t>
        </is>
      </c>
      <c r="P41" s="83" t="inlineStr">
        <is>
          <t>12 month avg</t>
        </is>
      </c>
      <c r="R41" s="83" t="inlineStr">
        <is>
          <t>Apr'26</t>
        </is>
      </c>
      <c r="S41" s="83" t="inlineStr">
        <is>
          <t>May'26</t>
        </is>
      </c>
      <c r="T41" s="83" t="inlineStr">
        <is>
          <t>May'26</t>
        </is>
      </c>
    </row>
    <row r="42">
      <c r="B42" s="84" t="inlineStr">
        <is>
          <t>Asian Paints Paid Search Traffic</t>
        </is>
      </c>
      <c r="C42" s="85" t="n">
        <v>374636</v>
      </c>
      <c r="D42" s="85" t="n">
        <v>366862</v>
      </c>
      <c r="E42" s="85" t="n">
        <v>317593</v>
      </c>
      <c r="F42" s="85" t="n">
        <v>356175</v>
      </c>
      <c r="G42" s="85" t="n">
        <v>322783</v>
      </c>
      <c r="H42" s="85" t="n">
        <v>361198</v>
      </c>
      <c r="I42" s="85" t="n">
        <v>399932</v>
      </c>
      <c r="J42" s="85" t="n">
        <v>389683</v>
      </c>
      <c r="K42" s="85" t="n">
        <v>444042</v>
      </c>
      <c r="L42" s="85" t="n">
        <v>390444</v>
      </c>
      <c r="M42" s="85" t="n">
        <v>414896</v>
      </c>
      <c r="N42" s="85" t="n">
        <v>441522</v>
      </c>
      <c r="O42" s="85" t="n">
        <v>4472299</v>
      </c>
      <c r="P42" s="85" t="n">
        <v>379275.76</v>
      </c>
      <c r="Q42" s="80" t="n"/>
      <c r="R42" s="85" t="n">
        <v>190767.28</v>
      </c>
      <c r="S42" s="85" t="n">
        <v>142553.13</v>
      </c>
      <c r="T42" s="85" t="n">
        <v>179598.33</v>
      </c>
    </row>
    <row r="43">
      <c r="B43" s="84" t="inlineStr">
        <is>
          <t>Opus Paid Search Traffic</t>
        </is>
      </c>
      <c r="C43" s="85" t="n">
        <v>210176</v>
      </c>
      <c r="D43" s="85" t="n">
        <v>218098</v>
      </c>
      <c r="E43" s="85" t="n">
        <v>245969</v>
      </c>
      <c r="F43" s="85" t="n">
        <v>172688</v>
      </c>
      <c r="G43" s="85" t="n">
        <v>129842</v>
      </c>
      <c r="H43" s="85" t="n">
        <v>80267</v>
      </c>
      <c r="I43" s="85" t="n">
        <v>128573</v>
      </c>
      <c r="J43" s="85" t="n">
        <v>64192</v>
      </c>
      <c r="K43" s="85" t="n">
        <v>134935</v>
      </c>
      <c r="L43" s="85" t="n">
        <v>90368</v>
      </c>
      <c r="M43" s="85" t="n">
        <v>127408</v>
      </c>
      <c r="N43" s="85" t="n">
        <v>102727</v>
      </c>
      <c r="O43" s="85" t="n">
        <v>1650818</v>
      </c>
      <c r="P43" s="85" t="n">
        <v>158766.64</v>
      </c>
      <c r="R43" s="85" t="n">
        <v>16604.64</v>
      </c>
      <c r="S43" s="85" t="n">
        <v>9798.530000000001</v>
      </c>
      <c r="T43" s="85" t="n">
        <v>11229.61</v>
      </c>
    </row>
    <row r="44">
      <c r="B44" s="84" t="inlineStr">
        <is>
          <t xml:space="preserve">Total </t>
        </is>
      </c>
      <c r="C44" s="85" t="n">
        <v>545143</v>
      </c>
      <c r="D44" s="85" t="n">
        <v>620498</v>
      </c>
      <c r="E44" s="85" t="n">
        <v>570833</v>
      </c>
      <c r="F44" s="85" t="n">
        <v>510568</v>
      </c>
      <c r="G44" s="85" t="n">
        <v>496426</v>
      </c>
      <c r="H44" s="85" t="n">
        <v>464132</v>
      </c>
      <c r="I44" s="85" t="n">
        <v>533445</v>
      </c>
      <c r="J44" s="85" t="n">
        <v>392936</v>
      </c>
      <c r="K44" s="85" t="n">
        <v>589162</v>
      </c>
      <c r="L44" s="85" t="n">
        <v>453185</v>
      </c>
      <c r="M44" s="85" t="n">
        <v>481429</v>
      </c>
      <c r="N44" s="85" t="n">
        <v>501657</v>
      </c>
      <c r="O44" s="85" t="n">
        <v>6800637</v>
      </c>
      <c r="P44" s="85" t="n">
        <v>531991</v>
      </c>
      <c r="R44" s="85" t="n">
        <v>194069.69</v>
      </c>
      <c r="S44" s="85" t="n">
        <v>191112.73</v>
      </c>
      <c r="T44" s="85" t="n">
        <v>201647.82</v>
      </c>
    </row>
    <row r="45">
      <c r="B45" s="84" t="inlineStr">
        <is>
          <t>AP %</t>
        </is>
      </c>
      <c r="C45" s="91" t="n">
        <v>0.62</v>
      </c>
      <c r="D45" s="91" t="n">
        <v>0.6</v>
      </c>
      <c r="E45" s="91" t="n">
        <v>0.61</v>
      </c>
      <c r="F45" s="91" t="n">
        <v>0.64</v>
      </c>
      <c r="G45" s="91" t="n">
        <v>0.66</v>
      </c>
      <c r="H45" s="91" t="n">
        <v>0.75</v>
      </c>
      <c r="I45" s="91" t="n">
        <v>0.8</v>
      </c>
      <c r="J45" s="91" t="n">
        <v>0.74</v>
      </c>
      <c r="K45" s="91" t="n">
        <v>0.85</v>
      </c>
      <c r="L45" s="91" t="n">
        <v>0.91</v>
      </c>
      <c r="M45" s="91" t="n">
        <v>0.72</v>
      </c>
      <c r="N45" s="91" t="n">
        <v>0.73</v>
      </c>
      <c r="O45" s="91" t="n">
        <v>0.6899999999999999</v>
      </c>
      <c r="P45" s="86" t="n">
        <v>0.8</v>
      </c>
      <c r="Q45" s="81" t="n"/>
      <c r="R45" s="86" t="n">
        <v>0.8</v>
      </c>
      <c r="S45" s="86" t="n">
        <v>0.88</v>
      </c>
      <c r="T45" s="86" t="n">
        <v>0.99</v>
      </c>
    </row>
    <row r="46">
      <c r="R46" s="234" t="n"/>
      <c r="S46" s="234" t="n"/>
      <c r="T46" s="234" t="n"/>
    </row>
  </sheetData>
  <mergeCells count="5">
    <mergeCell ref="C34:C39"/>
    <mergeCell ref="E2:P2"/>
    <mergeCell ref="B34:B39"/>
    <mergeCell ref="B28:B33"/>
    <mergeCell ref="C28:C3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topLeftCell="B1" zoomScale="115" zoomScaleNormal="115" workbookViewId="0">
      <selection activeCell="D12" sqref="D12"/>
    </sheetView>
  </sheetViews>
  <sheetFormatPr baseColWidth="8" defaultColWidth="8.85546875" defaultRowHeight="12"/>
  <cols>
    <col width="1.28515625" customWidth="1" style="1" min="1" max="1"/>
    <col width="7.28515625" bestFit="1" customWidth="1" style="1" min="2" max="2"/>
    <col width="4.7109375" bestFit="1" customWidth="1" style="1" min="3" max="3"/>
    <col width="4.28515625" bestFit="1" customWidth="1" style="1" min="4" max="4"/>
    <col width="4.5703125" bestFit="1" customWidth="1" style="1" min="5" max="5"/>
    <col width="4.28515625" bestFit="1" customWidth="1" style="1" min="6" max="6"/>
    <col width="6.140625" bestFit="1" customWidth="1" style="1" min="7" max="7"/>
    <col width="4.28515625" bestFit="1" customWidth="1" style="1" min="8" max="8"/>
    <col width="7.140625" bestFit="1" customWidth="1" style="1" min="9" max="9"/>
    <col width="8.85546875" bestFit="1" customWidth="1" style="1" min="10" max="11"/>
    <col width="6.7109375" bestFit="1" customWidth="1" style="1" min="12" max="12"/>
    <col width="7.5703125" bestFit="1" customWidth="1" style="1" min="13" max="13"/>
    <col width="5.85546875" bestFit="1" customWidth="1" style="1" min="14" max="14"/>
    <col width="4.42578125" bestFit="1" customWidth="1" style="1" min="15" max="15"/>
    <col width="4.28515625" bestFit="1" customWidth="1" style="1" min="16" max="16"/>
    <col width="8.85546875" customWidth="1" style="1" min="17" max="16384"/>
  </cols>
  <sheetData>
    <row r="1"/>
    <row r="2"/>
    <row r="3" ht="9" customHeight="1">
      <c r="B3" s="72" t="inlineStr">
        <is>
          <t>YT SOE</t>
        </is>
      </c>
    </row>
    <row r="4" ht="9" customHeight="1">
      <c r="B4" s="72" t="n"/>
    </row>
    <row r="5">
      <c r="B5" s="24" t="inlineStr">
        <is>
          <t>Year</t>
        </is>
      </c>
      <c r="C5" s="24" t="inlineStr">
        <is>
          <t>April</t>
        </is>
      </c>
      <c r="D5" s="24" t="inlineStr">
        <is>
          <t>May</t>
        </is>
      </c>
      <c r="E5" s="24" t="inlineStr">
        <is>
          <t>June</t>
        </is>
      </c>
      <c r="F5" s="24" t="inlineStr">
        <is>
          <t>July</t>
        </is>
      </c>
      <c r="G5" s="24" t="inlineStr">
        <is>
          <t>August</t>
        </is>
      </c>
      <c r="H5" s="24" t="inlineStr">
        <is>
          <t>Sep</t>
        </is>
      </c>
      <c r="I5" s="24" t="inlineStr">
        <is>
          <t>October</t>
        </is>
      </c>
      <c r="J5" s="24" t="inlineStr">
        <is>
          <t>November</t>
        </is>
      </c>
      <c r="K5" s="24" t="inlineStr">
        <is>
          <t>December</t>
        </is>
      </c>
      <c r="L5" s="24" t="inlineStr">
        <is>
          <t>January</t>
        </is>
      </c>
      <c r="M5" s="24" t="inlineStr">
        <is>
          <t>February</t>
        </is>
      </c>
      <c r="N5" s="24" t="inlineStr">
        <is>
          <t>March</t>
        </is>
      </c>
    </row>
    <row r="6">
      <c r="B6" s="43" t="inlineStr">
        <is>
          <t>2022-23</t>
        </is>
      </c>
      <c r="C6" s="73" t="n"/>
      <c r="D6" s="73" t="n"/>
      <c r="E6" s="73" t="n"/>
      <c r="F6" s="73" t="n"/>
      <c r="G6" s="73" t="n"/>
      <c r="H6" s="73" t="n"/>
      <c r="I6" s="74" t="n">
        <v>0.36</v>
      </c>
      <c r="J6" s="74" t="n">
        <v>0.66</v>
      </c>
      <c r="K6" s="74" t="n">
        <v>0.47</v>
      </c>
      <c r="L6" s="74" t="n">
        <v>0.58</v>
      </c>
      <c r="M6" s="74" t="n">
        <v>0.36</v>
      </c>
      <c r="N6" s="74" t="n">
        <v>0.11</v>
      </c>
    </row>
    <row r="7">
      <c r="B7" s="43" t="inlineStr">
        <is>
          <t>2023-24</t>
        </is>
      </c>
      <c r="C7" s="74" t="n">
        <v>0.21</v>
      </c>
      <c r="D7" s="74" t="n">
        <v>0.63</v>
      </c>
      <c r="E7" s="74" t="n">
        <v>0.43</v>
      </c>
      <c r="F7" s="74" t="n">
        <v>0.18</v>
      </c>
      <c r="G7" s="75" t="n">
        <v>0.71</v>
      </c>
      <c r="H7" s="75" t="n">
        <v>0.46</v>
      </c>
      <c r="I7" s="75" t="n">
        <v>0.36</v>
      </c>
      <c r="J7" s="75" t="n">
        <v>0.51</v>
      </c>
      <c r="K7" s="75" t="n">
        <v>0.5600000000000001</v>
      </c>
      <c r="L7" s="75" t="n">
        <v>0.64</v>
      </c>
      <c r="M7" s="75" t="n">
        <v>0.53</v>
      </c>
      <c r="N7" s="75" t="n">
        <v>0.07000000000000001</v>
      </c>
    </row>
    <row r="8">
      <c r="B8" s="43" t="inlineStr">
        <is>
          <t>2024-25</t>
        </is>
      </c>
      <c r="C8" s="75" t="n">
        <v>0.32</v>
      </c>
      <c r="D8" s="75" t="n">
        <v>0.61</v>
      </c>
      <c r="E8" s="75" t="n">
        <v>0.51</v>
      </c>
      <c r="F8" s="75" t="n">
        <v>0.2</v>
      </c>
      <c r="G8" s="75" t="n">
        <v>0.23</v>
      </c>
      <c r="H8" s="75" t="n">
        <v>0.38</v>
      </c>
      <c r="I8" s="75" t="n">
        <v>0.5</v>
      </c>
      <c r="J8" s="75" t="n">
        <v>0.15</v>
      </c>
      <c r="K8" s="75" t="n">
        <v>0.35</v>
      </c>
      <c r="L8" s="75" t="n">
        <v>0.47</v>
      </c>
      <c r="M8" s="75" t="n">
        <v>0.17</v>
      </c>
      <c r="N8" s="75" t="n">
        <v>0.29</v>
      </c>
    </row>
    <row r="9">
      <c r="B9" s="43" t="inlineStr">
        <is>
          <t>2025-26</t>
        </is>
      </c>
      <c r="C9" s="75" t="n">
        <v>0.64</v>
      </c>
      <c r="D9" s="75" t="n">
        <v>0.29</v>
      </c>
      <c r="E9" s="75" t="n">
        <v>0.46</v>
      </c>
      <c r="F9" s="74" t="n">
        <v>0.31</v>
      </c>
      <c r="G9" s="74" t="n">
        <v>0.06</v>
      </c>
      <c r="H9" s="74" t="n">
        <v>0.29</v>
      </c>
      <c r="I9" s="75" t="n">
        <v>0.33</v>
      </c>
      <c r="J9" s="75" t="n">
        <v>0.36</v>
      </c>
      <c r="K9" s="76" t="n">
        <v>0.32</v>
      </c>
      <c r="L9" s="74" t="n">
        <v>0.41</v>
      </c>
      <c r="M9" s="74" t="n">
        <v>0.32</v>
      </c>
      <c r="N9" s="74" t="n">
        <v>0.55</v>
      </c>
    </row>
    <row r="10" hidden="1">
      <c r="C10" s="255" t="n">
        <v>4.91</v>
      </c>
      <c r="D10" s="255" t="n">
        <v>2.35</v>
      </c>
      <c r="E10" s="255" t="n">
        <v>1.8</v>
      </c>
      <c r="F10" s="255" t="n">
        <v>2.35</v>
      </c>
      <c r="G10" s="255" t="n">
        <v>0.35</v>
      </c>
      <c r="H10" s="255" t="n">
        <v>2.06</v>
      </c>
      <c r="I10" s="255" t="n"/>
      <c r="N10" s="255" t="n"/>
      <c r="O10" s="255">
        <f>SUM(C10:N10)</f>
        <v/>
      </c>
      <c r="P10" s="20">
        <f>O10/O11</f>
        <v/>
      </c>
    </row>
    <row r="11" hidden="1">
      <c r="C11" s="255">
        <f>C10*100%/C9</f>
        <v/>
      </c>
      <c r="D11" s="255">
        <f>D10*100%/D9</f>
        <v/>
      </c>
      <c r="E11" s="255">
        <f>E10*100%/E9</f>
        <v/>
      </c>
      <c r="F11" s="255">
        <f>F10*100%/F9</f>
        <v/>
      </c>
      <c r="G11" s="255">
        <f>G10*100%/G9</f>
        <v/>
      </c>
      <c r="H11" s="255">
        <f>H10*100%/H9</f>
        <v/>
      </c>
      <c r="I11" s="255">
        <f>I10*100%/I9</f>
        <v/>
      </c>
      <c r="J11" s="255">
        <f>J10*100%/J9</f>
        <v/>
      </c>
      <c r="K11" s="255">
        <f>K10*100%/K9</f>
        <v/>
      </c>
      <c r="L11" s="255">
        <f>L10*100%/L9</f>
        <v/>
      </c>
      <c r="M11" s="255">
        <f>M10*100%/M9</f>
        <v/>
      </c>
      <c r="N11" s="255">
        <f>N10*100%/N9</f>
        <v/>
      </c>
      <c r="O11" s="255">
        <f>SUM(C11:H11)</f>
        <v/>
      </c>
    </row>
    <row r="12">
      <c r="B12" s="43" t="inlineStr">
        <is>
          <t>2026-27</t>
        </is>
      </c>
      <c r="C12" s="75" t="n">
        <v>0.52</v>
      </c>
      <c r="D12" s="75" t="n">
        <v>0.4</v>
      </c>
      <c r="E12" s="75" t="n"/>
      <c r="F12" s="74" t="n"/>
      <c r="G12" s="74" t="n"/>
      <c r="H12" s="74" t="n"/>
      <c r="I12" s="75" t="n"/>
      <c r="J12" s="75" t="n"/>
      <c r="K12" s="76" t="n"/>
      <c r="L12" s="74" t="n"/>
      <c r="M12" s="74" t="n"/>
      <c r="N12" s="7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3"/>
  <sheetViews>
    <sheetView showGridLines="0" zoomScale="90" zoomScaleNormal="9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I9" sqref="AI9"/>
    </sheetView>
  </sheetViews>
  <sheetFormatPr baseColWidth="8" defaultColWidth="8.85546875" defaultRowHeight="12"/>
  <cols>
    <col width="26.28515625" bestFit="1" customWidth="1" style="1" min="1" max="1"/>
    <col width="7.5703125" bestFit="1" customWidth="1" style="1" min="2" max="2"/>
    <col width="7.42578125" bestFit="1" customWidth="1" style="1" min="3" max="3"/>
    <col width="6.140625" customWidth="1" style="1" min="4" max="4"/>
    <col width="6.7109375" customWidth="1" style="1" min="5" max="5"/>
    <col hidden="1" width="6" customWidth="1" style="1" min="6" max="6"/>
    <col hidden="1" width="5.7109375" customWidth="1" style="1" min="7" max="7"/>
    <col hidden="1" width="6.28515625" customWidth="1" style="1" min="8" max="8"/>
    <col hidden="1" width="6.140625" customWidth="1" style="1" min="9" max="9"/>
    <col hidden="1" width="6" customWidth="1" style="1" min="10" max="10"/>
    <col hidden="1" width="6.28515625" customWidth="1" style="1" min="11" max="12"/>
    <col hidden="1" width="5.85546875" customWidth="1" style="1" min="13" max="13"/>
    <col hidden="1" width="6.140625" customWidth="1" style="1" min="14" max="14"/>
    <col hidden="1" width="5.5703125" customWidth="1" style="1" min="15" max="15"/>
    <col width="7.42578125" bestFit="1" customWidth="1" style="1" min="16" max="16"/>
    <col width="8.85546875" customWidth="1" style="1" min="17" max="17"/>
    <col width="8.85546875" customWidth="1" style="1" min="18" max="18"/>
    <col hidden="1" width="8.85546875" customWidth="1" style="1" min="19" max="28"/>
    <col width="8.85546875" customWidth="1" style="1" min="29" max="30"/>
    <col width="20.28515625" bestFit="1" customWidth="1" style="256" min="31" max="31"/>
    <col width="8.85546875" customWidth="1" style="256" min="32" max="32"/>
    <col width="8.85546875" customWidth="1" style="1" min="33" max="16384"/>
  </cols>
  <sheetData>
    <row r="1" ht="8.449999999999999" customHeight="1" thickBot="1"/>
    <row r="2" ht="12.75" customHeight="1" thickBot="1">
      <c r="A2" s="46" t="inlineStr">
        <is>
          <t>AP SOS</t>
        </is>
      </c>
      <c r="B2" s="47" t="inlineStr">
        <is>
          <t>LY'23-24</t>
        </is>
      </c>
      <c r="C2" s="48" t="inlineStr">
        <is>
          <t>FY 24-25</t>
        </is>
      </c>
      <c r="D2" s="49" t="inlineStr">
        <is>
          <t>Apr'25</t>
        </is>
      </c>
      <c r="E2" s="50" t="inlineStr">
        <is>
          <t>May'25</t>
        </is>
      </c>
      <c r="F2" s="50" t="inlineStr">
        <is>
          <t>Jun'25</t>
        </is>
      </c>
      <c r="G2" s="50" t="inlineStr">
        <is>
          <t>Jul'25</t>
        </is>
      </c>
      <c r="H2" s="50" t="inlineStr">
        <is>
          <t>Aug'25</t>
        </is>
      </c>
      <c r="I2" s="50" t="inlineStr">
        <is>
          <t>Sep'25</t>
        </is>
      </c>
      <c r="J2" s="50" t="inlineStr">
        <is>
          <t>Oct'25</t>
        </is>
      </c>
      <c r="K2" s="50" t="inlineStr">
        <is>
          <t>Nov'25</t>
        </is>
      </c>
      <c r="L2" s="50" t="inlineStr">
        <is>
          <t>Dec'25</t>
        </is>
      </c>
      <c r="M2" s="50" t="inlineStr">
        <is>
          <t>Jan'26</t>
        </is>
      </c>
      <c r="N2" s="50" t="inlineStr">
        <is>
          <t>Feb'26</t>
        </is>
      </c>
      <c r="O2" s="51" t="inlineStr">
        <is>
          <t>Mar'26</t>
        </is>
      </c>
      <c r="P2" s="52" t="inlineStr">
        <is>
          <t>FY 25-26</t>
        </is>
      </c>
      <c r="Q2" s="49" t="inlineStr">
        <is>
          <t>Apr'26</t>
        </is>
      </c>
      <c r="R2" s="50" t="inlineStr">
        <is>
          <t>May'26</t>
        </is>
      </c>
      <c r="S2" s="50" t="inlineStr">
        <is>
          <t>Jun'26</t>
        </is>
      </c>
      <c r="T2" s="50" t="inlineStr">
        <is>
          <t>Jul'26</t>
        </is>
      </c>
      <c r="U2" s="50" t="inlineStr">
        <is>
          <t>Aug'26</t>
        </is>
      </c>
      <c r="V2" s="50" t="inlineStr">
        <is>
          <t>Sep'26</t>
        </is>
      </c>
      <c r="W2" s="50" t="inlineStr">
        <is>
          <t>Oct'26</t>
        </is>
      </c>
      <c r="X2" s="50" t="inlineStr">
        <is>
          <t>Nov'26</t>
        </is>
      </c>
      <c r="Y2" s="50" t="inlineStr">
        <is>
          <t>Dec'26</t>
        </is>
      </c>
      <c r="Z2" s="50" t="inlineStr">
        <is>
          <t>Jan'27</t>
        </is>
      </c>
      <c r="AA2" s="50" t="inlineStr">
        <is>
          <t>Feb'27</t>
        </is>
      </c>
      <c r="AB2" s="51" t="inlineStr">
        <is>
          <t>Mar'27</t>
        </is>
      </c>
      <c r="AC2" s="52" t="inlineStr">
        <is>
          <t>FY 26-27</t>
        </is>
      </c>
    </row>
    <row r="3">
      <c r="A3" s="53" t="inlineStr">
        <is>
          <t>India</t>
        </is>
      </c>
      <c r="B3" s="257" t="n">
        <v>0.87</v>
      </c>
      <c r="C3" s="258" t="n">
        <v>0.93</v>
      </c>
      <c r="D3" s="259" t="n">
        <v>0.7</v>
      </c>
      <c r="E3" s="260" t="n">
        <v>0.76</v>
      </c>
      <c r="F3" s="260" t="n">
        <v>0.76</v>
      </c>
      <c r="G3" s="260" t="n">
        <v>0.86</v>
      </c>
      <c r="H3" s="260" t="n">
        <v>0.78</v>
      </c>
      <c r="I3" s="260" t="n">
        <v>0.6899999999999999</v>
      </c>
      <c r="J3" s="260" t="n">
        <v>0.85</v>
      </c>
      <c r="K3" s="260" t="n">
        <v>0.79</v>
      </c>
      <c r="L3" s="260" t="n">
        <v>0.9399999999999999</v>
      </c>
      <c r="M3" s="260" t="n">
        <v>0.88</v>
      </c>
      <c r="N3" s="260" t="n">
        <v>0.91</v>
      </c>
      <c r="O3" s="261" t="n">
        <v>0.92</v>
      </c>
      <c r="P3" s="262" t="n">
        <v>0.75</v>
      </c>
      <c r="Q3" s="92" t="n">
        <v>0.93</v>
      </c>
      <c r="R3" s="98" t="n">
        <v>0.75</v>
      </c>
      <c r="S3" s="260" t="n"/>
      <c r="T3" s="260" t="n"/>
      <c r="U3" s="260" t="n"/>
      <c r="V3" s="260" t="n"/>
      <c r="W3" s="260" t="n"/>
      <c r="X3" s="260" t="n"/>
      <c r="Y3" s="260" t="n"/>
      <c r="Z3" s="260" t="n"/>
      <c r="AA3" s="260" t="n"/>
      <c r="AB3" s="261" t="n"/>
      <c r="AC3" s="95" t="n">
        <v>0.8</v>
      </c>
      <c r="AE3" s="256">
        <f>R3-Q3</f>
        <v/>
      </c>
      <c r="AF3" s="256">
        <f>AC3-P3</f>
        <v/>
      </c>
      <c r="AG3" s="38">
        <f>R3-E3</f>
        <v/>
      </c>
      <c r="AH3" s="256">
        <f>R3-P3</f>
        <v/>
      </c>
    </row>
    <row r="4">
      <c r="A4" s="60" t="inlineStr">
        <is>
          <t>NW</t>
        </is>
      </c>
      <c r="B4" s="263" t="n">
        <v>0.8100000000000001</v>
      </c>
      <c r="C4" s="264" t="n">
        <v>0.84</v>
      </c>
      <c r="D4" s="265" t="n">
        <v>0.87</v>
      </c>
      <c r="E4" s="266" t="n">
        <v>0.83</v>
      </c>
      <c r="F4" s="266" t="n">
        <v>0.86</v>
      </c>
      <c r="G4" s="266" t="n">
        <v>0.84</v>
      </c>
      <c r="H4" s="266" t="n">
        <v>0.83</v>
      </c>
      <c r="I4" s="266" t="n">
        <v>0.8100000000000001</v>
      </c>
      <c r="J4" s="266" t="n">
        <v>0.68</v>
      </c>
      <c r="K4" s="266" t="n">
        <v>0.78</v>
      </c>
      <c r="L4" s="266" t="n">
        <v>0.82</v>
      </c>
      <c r="M4" s="266" t="n">
        <v>0.86</v>
      </c>
      <c r="N4" s="266" t="n">
        <v>0.9</v>
      </c>
      <c r="O4" s="266" t="n">
        <v>0.73</v>
      </c>
      <c r="P4" s="267" t="n">
        <v>0.71</v>
      </c>
      <c r="Q4" s="93" t="n">
        <v>0.72</v>
      </c>
      <c r="R4" s="260" t="n">
        <v>0.9</v>
      </c>
      <c r="S4" s="260" t="n"/>
      <c r="T4" s="266" t="n"/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96" t="n">
        <v>0.72</v>
      </c>
      <c r="AE4" s="256">
        <f>R4-Q4</f>
        <v/>
      </c>
      <c r="AF4" s="256">
        <f>AC4-P4</f>
        <v/>
      </c>
      <c r="AG4" s="38">
        <f>R4-E4</f>
        <v/>
      </c>
      <c r="AH4" s="256">
        <f>R4-P4</f>
        <v/>
      </c>
    </row>
    <row r="5">
      <c r="A5" s="60" t="inlineStr">
        <is>
          <t>WB</t>
        </is>
      </c>
      <c r="B5" s="263" t="n">
        <v>0.84</v>
      </c>
      <c r="C5" s="264" t="n">
        <v>0.87</v>
      </c>
      <c r="D5" s="265" t="n">
        <v>0.87</v>
      </c>
      <c r="E5" s="266" t="n">
        <v>0.8100000000000001</v>
      </c>
      <c r="F5" s="266" t="n">
        <v>0.77</v>
      </c>
      <c r="G5" s="266" t="n">
        <v>0.86</v>
      </c>
      <c r="H5" s="266" t="n">
        <v>0.66</v>
      </c>
      <c r="I5" s="266" t="n">
        <v>0.74</v>
      </c>
      <c r="J5" s="266" t="n">
        <v>0.77</v>
      </c>
      <c r="K5" s="266" t="n">
        <v>0.71</v>
      </c>
      <c r="L5" s="266" t="n">
        <v>0.9</v>
      </c>
      <c r="M5" s="266" t="n">
        <v>0.82</v>
      </c>
      <c r="N5" s="266" t="n">
        <v>0.67</v>
      </c>
      <c r="O5" s="266" t="n">
        <v>0.83</v>
      </c>
      <c r="P5" s="267" t="n">
        <v>0.89</v>
      </c>
      <c r="Q5" s="93" t="n">
        <v>0.79</v>
      </c>
      <c r="R5" s="260" t="n">
        <v>0.8</v>
      </c>
      <c r="S5" s="260" t="n"/>
      <c r="T5" s="266" t="n"/>
      <c r="U5" s="266" t="n"/>
      <c r="V5" s="266" t="n"/>
      <c r="W5" s="266" t="n"/>
      <c r="X5" s="266" t="n"/>
      <c r="Y5" s="266" t="n"/>
      <c r="Z5" s="266" t="n"/>
      <c r="AA5" s="266" t="n"/>
      <c r="AB5" s="266" t="n"/>
      <c r="AC5" s="96" t="n">
        <v>0.88</v>
      </c>
      <c r="AE5" s="256">
        <f>R5-Q5</f>
        <v/>
      </c>
      <c r="AF5" s="256">
        <f>AC5-P5</f>
        <v/>
      </c>
      <c r="AG5" s="38">
        <f>R5-E5</f>
        <v/>
      </c>
      <c r="AH5" s="256">
        <f>R5-P5</f>
        <v/>
      </c>
    </row>
    <row r="6">
      <c r="A6" s="60" t="inlineStr">
        <is>
          <t>AP/TEL</t>
        </is>
      </c>
      <c r="B6" s="263" t="n">
        <v>0.87</v>
      </c>
      <c r="C6" s="264" t="n">
        <v>0.96</v>
      </c>
      <c r="D6" s="265" t="n">
        <v>0.92</v>
      </c>
      <c r="E6" s="266" t="n">
        <v>0.96</v>
      </c>
      <c r="F6" s="266" t="n">
        <v>0.8</v>
      </c>
      <c r="G6" s="266" t="n">
        <v>0.87</v>
      </c>
      <c r="H6" s="266" t="n">
        <v>1.01</v>
      </c>
      <c r="I6" s="266" t="n">
        <v>1</v>
      </c>
      <c r="J6" s="266" t="n">
        <v>0.89</v>
      </c>
      <c r="K6" s="266" t="n">
        <v>0.93</v>
      </c>
      <c r="L6" s="266" t="n">
        <v>0.78</v>
      </c>
      <c r="M6" s="266" t="n">
        <v>0.85</v>
      </c>
      <c r="N6" s="266" t="n">
        <v>0.86</v>
      </c>
      <c r="O6" s="266" t="n">
        <v>1</v>
      </c>
      <c r="P6" s="267" t="n">
        <v>0.98</v>
      </c>
      <c r="Q6" s="93" t="n">
        <v>0.84</v>
      </c>
      <c r="R6" s="260" t="n">
        <v>0.91</v>
      </c>
      <c r="S6" s="260" t="n"/>
      <c r="T6" s="266" t="n"/>
      <c r="U6" s="266" t="n"/>
      <c r="V6" s="266" t="n"/>
      <c r="W6" s="266" t="n"/>
      <c r="X6" s="266" t="n"/>
      <c r="Y6" s="266" t="n"/>
      <c r="Z6" s="266" t="n"/>
      <c r="AA6" s="266" t="n"/>
      <c r="AB6" s="266" t="n"/>
      <c r="AC6" s="96" t="n">
        <v>0.97</v>
      </c>
      <c r="AE6" s="256">
        <f>R6-Q6</f>
        <v/>
      </c>
      <c r="AF6" s="256">
        <f>AC6-P6</f>
        <v/>
      </c>
      <c r="AG6" s="38">
        <f>R6-E6</f>
        <v/>
      </c>
      <c r="AH6" s="256">
        <f>R6-P6</f>
        <v/>
      </c>
    </row>
    <row r="7">
      <c r="A7" s="60" t="inlineStr">
        <is>
          <t>KAR</t>
        </is>
      </c>
      <c r="B7" s="263" t="n">
        <v>0.74</v>
      </c>
      <c r="C7" s="264" t="n">
        <v>0.86</v>
      </c>
      <c r="D7" s="265" t="n">
        <v>0.85</v>
      </c>
      <c r="E7" s="266" t="n">
        <v>0.88</v>
      </c>
      <c r="F7" s="266" t="n">
        <v>0.76</v>
      </c>
      <c r="G7" s="266" t="n">
        <v>0.98</v>
      </c>
      <c r="H7" s="266" t="n">
        <v>0.86</v>
      </c>
      <c r="I7" s="266" t="n">
        <v>0.84</v>
      </c>
      <c r="J7" s="266" t="n">
        <v>0.76</v>
      </c>
      <c r="K7" s="266" t="n">
        <v>0.92</v>
      </c>
      <c r="L7" s="266" t="n">
        <v>0.83</v>
      </c>
      <c r="M7" s="266" t="n">
        <v>0.84</v>
      </c>
      <c r="N7" s="266" t="n">
        <v>0.87</v>
      </c>
      <c r="O7" s="266" t="n">
        <v>0.96</v>
      </c>
      <c r="P7" s="267" t="n">
        <v>0.8100000000000001</v>
      </c>
      <c r="Q7" s="93" t="n">
        <v>0.93</v>
      </c>
      <c r="R7" s="260" t="n">
        <v>0.87</v>
      </c>
      <c r="S7" s="260" t="n"/>
      <c r="T7" s="266" t="n"/>
      <c r="U7" s="266" t="n"/>
      <c r="V7" s="266" t="n"/>
      <c r="W7" s="266" t="n"/>
      <c r="X7" s="266" t="n"/>
      <c r="Y7" s="266" t="n"/>
      <c r="Z7" s="266" t="n"/>
      <c r="AA7" s="266" t="n"/>
      <c r="AB7" s="266" t="n"/>
      <c r="AC7" s="96" t="n">
        <v>0.77</v>
      </c>
      <c r="AE7" s="256">
        <f>R7-Q7</f>
        <v/>
      </c>
      <c r="AF7" s="256">
        <f>AC7-P7</f>
        <v/>
      </c>
      <c r="AG7" s="38">
        <f>R7-E7</f>
        <v/>
      </c>
      <c r="AH7" s="256">
        <f>R7-P7</f>
        <v/>
      </c>
    </row>
    <row r="8">
      <c r="A8" s="60" t="inlineStr">
        <is>
          <t>KER</t>
        </is>
      </c>
      <c r="B8" s="263" t="n">
        <v>0.76</v>
      </c>
      <c r="C8" s="264" t="n">
        <v>0.7</v>
      </c>
      <c r="D8" s="265" t="n">
        <v>0.85</v>
      </c>
      <c r="E8" s="266" t="n">
        <v>0.68</v>
      </c>
      <c r="F8" s="266" t="n">
        <v>0.75</v>
      </c>
      <c r="G8" s="266" t="n">
        <v>0.8</v>
      </c>
      <c r="H8" s="266" t="n">
        <v>0.82</v>
      </c>
      <c r="I8" s="266" t="n">
        <v>0.75</v>
      </c>
      <c r="J8" s="266" t="n">
        <v>0.87</v>
      </c>
      <c r="K8" s="266" t="n">
        <v>0.7</v>
      </c>
      <c r="L8" s="266" t="n">
        <v>0.87</v>
      </c>
      <c r="M8" s="266" t="n">
        <v>0.86</v>
      </c>
      <c r="N8" s="266" t="n">
        <v>0.68</v>
      </c>
      <c r="O8" s="266" t="n">
        <v>0.86</v>
      </c>
      <c r="P8" s="267" t="n">
        <v>0.72</v>
      </c>
      <c r="Q8" s="93" t="n">
        <v>0.88</v>
      </c>
      <c r="R8" s="260" t="n">
        <v>0.71</v>
      </c>
      <c r="S8" s="260" t="n"/>
      <c r="T8" s="266" t="n"/>
      <c r="U8" s="266" t="n"/>
      <c r="V8" s="266" t="n"/>
      <c r="W8" s="266" t="n"/>
      <c r="X8" s="266" t="n"/>
      <c r="Y8" s="266" t="n"/>
      <c r="Z8" s="266" t="n"/>
      <c r="AA8" s="266" t="n"/>
      <c r="AB8" s="266" t="n"/>
      <c r="AC8" s="96" t="n">
        <v>0.74</v>
      </c>
      <c r="AE8" s="256">
        <f>R8-Q8</f>
        <v/>
      </c>
      <c r="AF8" s="256">
        <f>AC8-P8</f>
        <v/>
      </c>
      <c r="AG8" s="38">
        <f>R8-E8</f>
        <v/>
      </c>
      <c r="AH8" s="256">
        <f>R8-P8</f>
        <v/>
      </c>
    </row>
    <row r="9">
      <c r="A9" s="60" t="inlineStr">
        <is>
          <t>TN</t>
        </is>
      </c>
      <c r="B9" s="263" t="n">
        <v>0.75</v>
      </c>
      <c r="C9" s="264" t="n">
        <v>0.78</v>
      </c>
      <c r="D9" s="265" t="n">
        <v>0.75</v>
      </c>
      <c r="E9" s="266" t="n">
        <v>0.84</v>
      </c>
      <c r="F9" s="266" t="n">
        <v>0.78</v>
      </c>
      <c r="G9" s="266" t="n">
        <v>0.97</v>
      </c>
      <c r="H9" s="266" t="n">
        <v>0.9</v>
      </c>
      <c r="I9" s="266" t="n">
        <v>0.73</v>
      </c>
      <c r="J9" s="266" t="n">
        <v>0.92</v>
      </c>
      <c r="K9" s="266" t="n">
        <v>0.74</v>
      </c>
      <c r="L9" s="266" t="n">
        <v>0.9399999999999999</v>
      </c>
      <c r="M9" s="266" t="n">
        <v>0.76</v>
      </c>
      <c r="N9" s="266" t="n">
        <v>0.77</v>
      </c>
      <c r="O9" s="266" t="n">
        <v>0.8</v>
      </c>
      <c r="P9" s="267" t="n">
        <v>0.75</v>
      </c>
      <c r="Q9" s="93" t="n">
        <v>0.96</v>
      </c>
      <c r="R9" s="260" t="n">
        <v>0.88</v>
      </c>
      <c r="S9" s="260" t="n"/>
      <c r="T9" s="266" t="n"/>
      <c r="U9" s="266" t="n"/>
      <c r="V9" s="266" t="n"/>
      <c r="W9" s="266" t="n"/>
      <c r="X9" s="266" t="n"/>
      <c r="Y9" s="266" t="n"/>
      <c r="Z9" s="266" t="n"/>
      <c r="AA9" s="266" t="n"/>
      <c r="AB9" s="266" t="n"/>
      <c r="AC9" s="96" t="n">
        <v>0.77</v>
      </c>
      <c r="AE9" s="256">
        <f>R9-Q9</f>
        <v/>
      </c>
      <c r="AF9" s="256">
        <f>AC9-P9</f>
        <v/>
      </c>
      <c r="AG9" s="38">
        <f>R9-E9</f>
        <v/>
      </c>
      <c r="AH9" s="256">
        <f>R9-P9</f>
        <v/>
      </c>
    </row>
    <row r="10">
      <c r="A10" s="60" t="inlineStr">
        <is>
          <t>Mah</t>
        </is>
      </c>
      <c r="B10" s="263" t="n">
        <v>0.78</v>
      </c>
      <c r="C10" s="264" t="n">
        <v>0.88</v>
      </c>
      <c r="D10" s="265" t="n">
        <v>0.73</v>
      </c>
      <c r="E10" s="266" t="n">
        <v>0.74</v>
      </c>
      <c r="F10" s="266" t="n">
        <v>0.82</v>
      </c>
      <c r="G10" s="266" t="n">
        <v>0.85</v>
      </c>
      <c r="H10" s="266" t="n">
        <v>0.97</v>
      </c>
      <c r="I10" s="266" t="n">
        <v>0.83</v>
      </c>
      <c r="J10" s="266" t="n">
        <v>0.8100000000000001</v>
      </c>
      <c r="K10" s="266" t="n">
        <v>0.89</v>
      </c>
      <c r="L10" s="266" t="n">
        <v>0.79</v>
      </c>
      <c r="M10" s="266" t="n">
        <v>0.91</v>
      </c>
      <c r="N10" s="266" t="n">
        <v>0.78</v>
      </c>
      <c r="O10" s="266" t="n">
        <v>0.77</v>
      </c>
      <c r="P10" s="267" t="n">
        <v>0.93</v>
      </c>
      <c r="Q10" s="93" t="n">
        <v>0.95</v>
      </c>
      <c r="R10" s="260" t="n">
        <v>0.93</v>
      </c>
      <c r="S10" s="260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96" t="n">
        <v>0.86</v>
      </c>
      <c r="AE10" s="256">
        <f>R10-Q10</f>
        <v/>
      </c>
      <c r="AF10" s="256">
        <f>AC10-P10</f>
        <v/>
      </c>
      <c r="AG10" s="38">
        <f>R10-E10</f>
        <v/>
      </c>
      <c r="AH10" s="256">
        <f>R10-P10</f>
        <v/>
      </c>
    </row>
    <row r="11">
      <c r="A11" s="60" t="inlineStr">
        <is>
          <t>Assam</t>
        </is>
      </c>
      <c r="B11" s="263" t="n">
        <v>0.83</v>
      </c>
      <c r="C11" s="264" t="n">
        <v>0.67</v>
      </c>
      <c r="D11" s="265" t="n">
        <v>0.82</v>
      </c>
      <c r="E11" s="266" t="n">
        <v>0.77</v>
      </c>
      <c r="F11" s="266" t="n">
        <v>0.8100000000000001</v>
      </c>
      <c r="G11" s="266" t="n">
        <v>0.85</v>
      </c>
      <c r="H11" s="266" t="n">
        <v>0.84</v>
      </c>
      <c r="I11" s="266" t="n">
        <v>0.7</v>
      </c>
      <c r="J11" s="266" t="n">
        <v>0.87</v>
      </c>
      <c r="K11" s="266" t="n">
        <v>0.8100000000000001</v>
      </c>
      <c r="L11" s="266" t="n">
        <v>0.77</v>
      </c>
      <c r="M11" s="266" t="n">
        <v>0.88</v>
      </c>
      <c r="N11" s="266" t="n">
        <v>0.83</v>
      </c>
      <c r="O11" s="266" t="n">
        <v>0.8100000000000001</v>
      </c>
      <c r="P11" s="267" t="n">
        <v>0.8</v>
      </c>
      <c r="Q11" s="93" t="n">
        <v>0.8</v>
      </c>
      <c r="R11" s="260" t="n">
        <v>0.78</v>
      </c>
      <c r="S11" s="260" t="n"/>
      <c r="T11" s="266" t="n"/>
      <c r="U11" s="266" t="n"/>
      <c r="V11" s="266" t="n"/>
      <c r="W11" s="266" t="n"/>
      <c r="X11" s="266" t="n"/>
      <c r="Y11" s="266" t="n"/>
      <c r="Z11" s="266" t="n"/>
      <c r="AA11" s="266" t="n"/>
      <c r="AB11" s="266" t="n"/>
      <c r="AC11" s="96" t="n">
        <v>0.78</v>
      </c>
      <c r="AE11" s="256">
        <f>R11-Q11</f>
        <v/>
      </c>
      <c r="AF11" s="256">
        <f>AC11-P11</f>
        <v/>
      </c>
      <c r="AG11" s="38">
        <f>R11-E11</f>
        <v/>
      </c>
      <c r="AH11" s="256">
        <f>R11-P11</f>
        <v/>
      </c>
    </row>
    <row r="12">
      <c r="A12" s="60" t="inlineStr">
        <is>
          <t>Odisha</t>
        </is>
      </c>
      <c r="B12" s="263" t="n">
        <v>0.83</v>
      </c>
      <c r="C12" s="264" t="n">
        <v>0.91</v>
      </c>
      <c r="D12" s="265" t="n">
        <v>0.82</v>
      </c>
      <c r="E12" s="266" t="n">
        <v>0.8100000000000001</v>
      </c>
      <c r="F12" s="266" t="n">
        <v>0.78</v>
      </c>
      <c r="G12" s="266" t="n">
        <v>0.84</v>
      </c>
      <c r="H12" s="266" t="n">
        <v>0.7</v>
      </c>
      <c r="I12" s="266" t="n">
        <v>0.8</v>
      </c>
      <c r="J12" s="266" t="n">
        <v>0.71</v>
      </c>
      <c r="K12" s="266" t="n">
        <v>0.82</v>
      </c>
      <c r="L12" s="266" t="n">
        <v>0.76</v>
      </c>
      <c r="M12" s="266" t="n">
        <v>0.85</v>
      </c>
      <c r="N12" s="266" t="n">
        <v>0.93</v>
      </c>
      <c r="O12" s="266" t="n">
        <v>0.82</v>
      </c>
      <c r="P12" s="267" t="n">
        <v>0.82</v>
      </c>
      <c r="Q12" s="93" t="n">
        <v>0.78</v>
      </c>
      <c r="R12" s="260" t="n">
        <v>0.68</v>
      </c>
      <c r="S12" s="260" t="n"/>
      <c r="T12" s="266" t="n"/>
      <c r="U12" s="266" t="n"/>
      <c r="V12" s="266" t="n"/>
      <c r="W12" s="266" t="n"/>
      <c r="X12" s="266" t="n"/>
      <c r="Y12" s="266" t="n"/>
      <c r="Z12" s="266" t="n"/>
      <c r="AA12" s="266" t="n"/>
      <c r="AB12" s="266" t="n"/>
      <c r="AC12" s="96" t="n">
        <v>0.72</v>
      </c>
      <c r="AE12" s="256">
        <f>R12-Q12</f>
        <v/>
      </c>
      <c r="AF12" s="256">
        <f>AC12-P12</f>
        <v/>
      </c>
      <c r="AG12" s="38">
        <f>R12-E12</f>
        <v/>
      </c>
      <c r="AH12" s="256">
        <f>R12-P12</f>
        <v/>
      </c>
    </row>
    <row r="13">
      <c r="A13" s="60" t="inlineStr">
        <is>
          <t>AP</t>
        </is>
      </c>
      <c r="B13" s="263" t="n">
        <v>0.86</v>
      </c>
      <c r="C13" s="264" t="n">
        <v>0.84</v>
      </c>
      <c r="D13" s="265" t="n">
        <v>0.76</v>
      </c>
      <c r="E13" s="266" t="n">
        <v>0.88</v>
      </c>
      <c r="F13" s="266" t="n">
        <v>0.74</v>
      </c>
      <c r="G13" s="266" t="n">
        <v>0.87</v>
      </c>
      <c r="H13" s="266" t="n">
        <v>0.85</v>
      </c>
      <c r="I13" s="266" t="n">
        <v>0.93</v>
      </c>
      <c r="J13" s="266" t="n">
        <v>0.8</v>
      </c>
      <c r="K13" s="266" t="n">
        <v>0.86</v>
      </c>
      <c r="L13" s="266" t="n">
        <v>0.88</v>
      </c>
      <c r="M13" s="266" t="n">
        <v>0.87</v>
      </c>
      <c r="N13" s="266" t="n">
        <v>0.89</v>
      </c>
      <c r="O13" s="266" t="n">
        <v>0.99</v>
      </c>
      <c r="P13" s="267" t="n">
        <v>0.98</v>
      </c>
      <c r="Q13" s="93" t="n">
        <v>0.91</v>
      </c>
      <c r="R13" s="260" t="n">
        <v>0.99</v>
      </c>
      <c r="S13" s="260" t="n"/>
      <c r="T13" s="266" t="n"/>
      <c r="U13" s="266" t="n"/>
      <c r="V13" s="266" t="n"/>
      <c r="W13" s="266" t="n"/>
      <c r="X13" s="266" t="n"/>
      <c r="Y13" s="266" t="n"/>
      <c r="Z13" s="266" t="n"/>
      <c r="AA13" s="266" t="n"/>
      <c r="AB13" s="266" t="n"/>
      <c r="AC13" s="96" t="n">
        <v>0.78</v>
      </c>
      <c r="AE13" s="256">
        <f>R13-Q13</f>
        <v/>
      </c>
      <c r="AF13" s="256">
        <f>AC13-P13</f>
        <v/>
      </c>
      <c r="AG13" s="38">
        <f>R13-E13</f>
        <v/>
      </c>
      <c r="AH13" s="256">
        <f>R13-P13</f>
        <v/>
      </c>
    </row>
    <row r="14">
      <c r="A14" s="60" t="inlineStr">
        <is>
          <t>Telangana</t>
        </is>
      </c>
      <c r="B14" s="263" t="n">
        <v>0.97</v>
      </c>
      <c r="C14" s="264" t="n">
        <v>0.97</v>
      </c>
      <c r="D14" s="265" t="n">
        <v>0.84</v>
      </c>
      <c r="E14" s="266" t="n">
        <v>0.84</v>
      </c>
      <c r="F14" s="266" t="n">
        <v>0.95</v>
      </c>
      <c r="G14" s="266" t="n">
        <v>0.79</v>
      </c>
      <c r="H14" s="266" t="n">
        <v>0.8</v>
      </c>
      <c r="I14" s="266" t="n">
        <v>0.84</v>
      </c>
      <c r="J14" s="266" t="n">
        <v>0.99</v>
      </c>
      <c r="K14" s="266" t="n">
        <v>0.99</v>
      </c>
      <c r="L14" s="266" t="n">
        <v>0.9399999999999999</v>
      </c>
      <c r="M14" s="266" t="n">
        <v>0.89</v>
      </c>
      <c r="N14" s="266" t="n">
        <v>0.87</v>
      </c>
      <c r="O14" s="266" t="n">
        <v>0.92</v>
      </c>
      <c r="P14" s="267" t="n">
        <v>0.77</v>
      </c>
      <c r="Q14" s="93" t="n">
        <v>1.04</v>
      </c>
      <c r="R14" s="260" t="n">
        <v>0.83</v>
      </c>
      <c r="S14" s="260" t="n"/>
      <c r="T14" s="266" t="n"/>
      <c r="U14" s="266" t="n"/>
      <c r="V14" s="266" t="n"/>
      <c r="W14" s="266" t="n"/>
      <c r="X14" s="266" t="n"/>
      <c r="Y14" s="266" t="n"/>
      <c r="Z14" s="266" t="n"/>
      <c r="AA14" s="266" t="n"/>
      <c r="AB14" s="266" t="n"/>
      <c r="AC14" s="96" t="n">
        <v>0.99</v>
      </c>
      <c r="AE14" s="256">
        <f>R14-Q14</f>
        <v/>
      </c>
      <c r="AF14" s="256">
        <f>AC14-P14</f>
        <v/>
      </c>
      <c r="AG14" s="38">
        <f>R14-E14</f>
        <v/>
      </c>
      <c r="AH14" s="256">
        <f>R14-P14</f>
        <v/>
      </c>
    </row>
    <row r="15">
      <c r="A15" s="60" t="inlineStr">
        <is>
          <t>Bihar</t>
        </is>
      </c>
      <c r="B15" s="263" t="n">
        <v>0.72</v>
      </c>
      <c r="C15" s="264" t="n">
        <v>0.75</v>
      </c>
      <c r="D15" s="265" t="n">
        <v>0.85</v>
      </c>
      <c r="E15" s="266" t="n">
        <v>0.86</v>
      </c>
      <c r="F15" s="266" t="n">
        <v>0.66</v>
      </c>
      <c r="G15" s="266" t="n">
        <v>0.75</v>
      </c>
      <c r="H15" s="266" t="n">
        <v>0.77</v>
      </c>
      <c r="I15" s="266" t="n">
        <v>0.84</v>
      </c>
      <c r="J15" s="266" t="n">
        <v>0.7</v>
      </c>
      <c r="K15" s="266" t="n">
        <v>0.8100000000000001</v>
      </c>
      <c r="L15" s="266" t="n">
        <v>0.84</v>
      </c>
      <c r="M15" s="266" t="n">
        <v>0.7</v>
      </c>
      <c r="N15" s="266" t="n">
        <v>0.71</v>
      </c>
      <c r="O15" s="266" t="n">
        <v>0.83</v>
      </c>
      <c r="P15" s="267" t="n">
        <v>0.71</v>
      </c>
      <c r="Q15" s="93" t="n">
        <v>0.7</v>
      </c>
      <c r="R15" s="260" t="n">
        <v>0.65</v>
      </c>
      <c r="S15" s="260" t="n"/>
      <c r="T15" s="266" t="n"/>
      <c r="U15" s="266" t="n"/>
      <c r="V15" s="266" t="n"/>
      <c r="W15" s="266" t="n"/>
      <c r="X15" s="266" t="n"/>
      <c r="Y15" s="266" t="n"/>
      <c r="Z15" s="266" t="n"/>
      <c r="AA15" s="266" t="n"/>
      <c r="AB15" s="266" t="n"/>
      <c r="AC15" s="96" t="n">
        <v>0.8</v>
      </c>
      <c r="AE15" s="256">
        <f>R15-Q15</f>
        <v/>
      </c>
      <c r="AF15" s="256">
        <f>AC15-P15</f>
        <v/>
      </c>
      <c r="AG15" s="38">
        <f>R15-E15</f>
        <v/>
      </c>
      <c r="AH15" s="256">
        <f>R15-P15</f>
        <v/>
      </c>
    </row>
    <row r="16">
      <c r="A16" s="60" t="inlineStr">
        <is>
          <t>Gujarat</t>
        </is>
      </c>
      <c r="B16" s="263" t="n">
        <v>0.83</v>
      </c>
      <c r="C16" s="264" t="n">
        <v>0.86</v>
      </c>
      <c r="D16" s="265" t="n">
        <v>0.9</v>
      </c>
      <c r="E16" s="266" t="n">
        <v>0.84</v>
      </c>
      <c r="F16" s="266" t="n">
        <v>0.6899999999999999</v>
      </c>
      <c r="G16" s="266" t="n">
        <v>0.78</v>
      </c>
      <c r="H16" s="266" t="n">
        <v>0.88</v>
      </c>
      <c r="I16" s="266" t="n">
        <v>0.83</v>
      </c>
      <c r="J16" s="266" t="n">
        <v>0.9399999999999999</v>
      </c>
      <c r="K16" s="266" t="n">
        <v>0.79</v>
      </c>
      <c r="L16" s="266" t="n">
        <v>0.85</v>
      </c>
      <c r="M16" s="266" t="n">
        <v>0.71</v>
      </c>
      <c r="N16" s="266" t="n">
        <v>0.89</v>
      </c>
      <c r="O16" s="266" t="n">
        <v>0.83</v>
      </c>
      <c r="P16" s="267" t="n">
        <v>0.84</v>
      </c>
      <c r="Q16" s="93" t="n">
        <v>0.76</v>
      </c>
      <c r="R16" s="260" t="n">
        <v>0.89</v>
      </c>
      <c r="S16" s="260" t="n"/>
      <c r="T16" s="266" t="n"/>
      <c r="U16" s="266" t="n"/>
      <c r="V16" s="266" t="n"/>
      <c r="W16" s="266" t="n"/>
      <c r="X16" s="266" t="n"/>
      <c r="Y16" s="266" t="n"/>
      <c r="Z16" s="266" t="n"/>
      <c r="AA16" s="266" t="n"/>
      <c r="AB16" s="266" t="n"/>
      <c r="AC16" s="96" t="n">
        <v>0.75</v>
      </c>
      <c r="AE16" s="256">
        <f>R16-Q16</f>
        <v/>
      </c>
      <c r="AF16" s="256">
        <f>AC16-P16</f>
        <v/>
      </c>
      <c r="AG16" s="38">
        <f>R16-E16</f>
        <v/>
      </c>
      <c r="AH16" s="256">
        <f>R16-P16</f>
        <v/>
      </c>
    </row>
    <row r="17">
      <c r="A17" s="60" t="inlineStr">
        <is>
          <t>Haryana</t>
        </is>
      </c>
      <c r="B17" s="263" t="n">
        <v>0.74</v>
      </c>
      <c r="C17" s="264" t="n">
        <v>0.78</v>
      </c>
      <c r="D17" s="265" t="n">
        <v>0.82</v>
      </c>
      <c r="E17" s="266" t="n">
        <v>0.82</v>
      </c>
      <c r="F17" s="266" t="n">
        <v>0.84</v>
      </c>
      <c r="G17" s="266" t="n">
        <v>0.7</v>
      </c>
      <c r="H17" s="266" t="n">
        <v>0.87</v>
      </c>
      <c r="I17" s="266" t="n">
        <v>0.65</v>
      </c>
      <c r="J17" s="266" t="n">
        <v>0.8</v>
      </c>
      <c r="K17" s="266" t="n">
        <v>0.76</v>
      </c>
      <c r="L17" s="266" t="n">
        <v>0.76</v>
      </c>
      <c r="M17" s="266" t="n">
        <v>0.85</v>
      </c>
      <c r="N17" s="266" t="n">
        <v>0.6899999999999999</v>
      </c>
      <c r="O17" s="266" t="n">
        <v>0.73</v>
      </c>
      <c r="P17" s="267" t="n">
        <v>0.77</v>
      </c>
      <c r="Q17" s="93" t="n">
        <v>0.84</v>
      </c>
      <c r="R17" s="260" t="n">
        <v>0.87</v>
      </c>
      <c r="S17" s="260" t="n"/>
      <c r="T17" s="266" t="n"/>
      <c r="U17" s="266" t="n"/>
      <c r="V17" s="266" t="n"/>
      <c r="W17" s="266" t="n"/>
      <c r="X17" s="266" t="n"/>
      <c r="Y17" s="266" t="n"/>
      <c r="Z17" s="266" t="n"/>
      <c r="AA17" s="266" t="n"/>
      <c r="AB17" s="266" t="n"/>
      <c r="AC17" s="96" t="n">
        <v>0.75</v>
      </c>
      <c r="AE17" s="256">
        <f>R17-Q17</f>
        <v/>
      </c>
      <c r="AF17" s="256">
        <f>AC17-P17</f>
        <v/>
      </c>
      <c r="AG17" s="38">
        <f>R17-E17</f>
        <v/>
      </c>
      <c r="AH17" s="256">
        <f>R17-P17</f>
        <v/>
      </c>
    </row>
    <row r="18">
      <c r="A18" s="60" t="inlineStr">
        <is>
          <t>MP</t>
        </is>
      </c>
      <c r="B18" s="263" t="n">
        <v>0.88</v>
      </c>
      <c r="C18" s="264" t="n">
        <v>0.92</v>
      </c>
      <c r="D18" s="265" t="n">
        <v>0.92</v>
      </c>
      <c r="E18" s="266" t="n">
        <v>0.9</v>
      </c>
      <c r="F18" s="266" t="n">
        <v>0.71</v>
      </c>
      <c r="G18" s="266" t="n">
        <v>0.85</v>
      </c>
      <c r="H18" s="266" t="n">
        <v>0.85</v>
      </c>
      <c r="I18" s="266" t="n">
        <v>0.7</v>
      </c>
      <c r="J18" s="266" t="n">
        <v>0.86</v>
      </c>
      <c r="K18" s="266" t="n">
        <v>0.8100000000000001</v>
      </c>
      <c r="L18" s="266" t="n">
        <v>0.76</v>
      </c>
      <c r="M18" s="266" t="n">
        <v>0.91</v>
      </c>
      <c r="N18" s="266" t="n">
        <v>0.78</v>
      </c>
      <c r="O18" s="266" t="n">
        <v>0.74</v>
      </c>
      <c r="P18" s="267" t="n">
        <v>0.73</v>
      </c>
      <c r="Q18" s="93" t="n">
        <v>0.83</v>
      </c>
      <c r="R18" s="260" t="n">
        <v>0.8</v>
      </c>
      <c r="S18" s="260" t="n"/>
      <c r="T18" s="266" t="n"/>
      <c r="U18" s="266" t="n"/>
      <c r="V18" s="266" t="n"/>
      <c r="W18" s="266" t="n"/>
      <c r="X18" s="266" t="n"/>
      <c r="Y18" s="266" t="n"/>
      <c r="Z18" s="266" t="n"/>
      <c r="AA18" s="266" t="n"/>
      <c r="AB18" s="266" t="n"/>
      <c r="AC18" s="96" t="n">
        <v>0.74</v>
      </c>
      <c r="AE18" s="256">
        <f>R18-Q18</f>
        <v/>
      </c>
      <c r="AF18" s="256">
        <f>AC18-P18</f>
        <v/>
      </c>
      <c r="AG18" s="38">
        <f>R18-E18</f>
        <v/>
      </c>
      <c r="AH18" s="256">
        <f>R18-P18</f>
        <v/>
      </c>
    </row>
    <row r="19">
      <c r="A19" s="60" t="inlineStr">
        <is>
          <t>Punjab</t>
        </is>
      </c>
      <c r="B19" s="263" t="n">
        <v>0.7</v>
      </c>
      <c r="C19" s="264" t="n">
        <v>0.78</v>
      </c>
      <c r="D19" s="265" t="n">
        <v>0.64</v>
      </c>
      <c r="E19" s="266" t="n">
        <v>0.76</v>
      </c>
      <c r="F19" s="266" t="n">
        <v>0.6</v>
      </c>
      <c r="G19" s="266" t="n">
        <v>0.74</v>
      </c>
      <c r="H19" s="266" t="n">
        <v>0.6</v>
      </c>
      <c r="I19" s="266" t="n">
        <v>0.72</v>
      </c>
      <c r="J19" s="266" t="n">
        <v>0.74</v>
      </c>
      <c r="K19" s="266" t="n">
        <v>0.61</v>
      </c>
      <c r="L19" s="266" t="n">
        <v>0.74</v>
      </c>
      <c r="M19" s="266" t="n">
        <v>0.77</v>
      </c>
      <c r="N19" s="266" t="n">
        <v>0.71</v>
      </c>
      <c r="O19" s="266" t="n">
        <v>0.6899999999999999</v>
      </c>
      <c r="P19" s="267" t="n">
        <v>0.75</v>
      </c>
      <c r="Q19" s="93" t="n">
        <v>0.77</v>
      </c>
      <c r="R19" s="260" t="n">
        <v>0.74</v>
      </c>
      <c r="S19" s="260" t="n"/>
      <c r="T19" s="266" t="n"/>
      <c r="U19" s="266" t="n"/>
      <c r="V19" s="266" t="n"/>
      <c r="W19" s="266" t="n"/>
      <c r="X19" s="266" t="n"/>
      <c r="Y19" s="266" t="n"/>
      <c r="Z19" s="266" t="n"/>
      <c r="AA19" s="266" t="n"/>
      <c r="AB19" s="266" t="n"/>
      <c r="AC19" s="96" t="n">
        <v>0.67</v>
      </c>
      <c r="AE19" s="256">
        <f>R19-Q19</f>
        <v/>
      </c>
      <c r="AF19" s="256">
        <f>AC19-P19</f>
        <v/>
      </c>
      <c r="AG19" s="38">
        <f>R19-E19</f>
        <v/>
      </c>
      <c r="AH19" s="256">
        <f>R19-P19</f>
        <v/>
      </c>
    </row>
    <row r="20">
      <c r="A20" s="60" t="inlineStr">
        <is>
          <t>Rajasthan</t>
        </is>
      </c>
      <c r="B20" s="263" t="n">
        <v>0.82</v>
      </c>
      <c r="C20" s="264" t="n">
        <v>0.88</v>
      </c>
      <c r="D20" s="265" t="n">
        <v>0.7</v>
      </c>
      <c r="E20" s="266" t="n">
        <v>0.77</v>
      </c>
      <c r="F20" s="266" t="n">
        <v>0.84</v>
      </c>
      <c r="G20" s="266" t="n">
        <v>0.83</v>
      </c>
      <c r="H20" s="266" t="n">
        <v>0.72</v>
      </c>
      <c r="I20" s="266" t="n">
        <v>0.75</v>
      </c>
      <c r="J20" s="266" t="n">
        <v>0.9399999999999999</v>
      </c>
      <c r="K20" s="266" t="n">
        <v>0.72</v>
      </c>
      <c r="L20" s="266" t="n">
        <v>0.9</v>
      </c>
      <c r="M20" s="266" t="n">
        <v>0.8</v>
      </c>
      <c r="N20" s="266" t="n">
        <v>0.87</v>
      </c>
      <c r="O20" s="266" t="n">
        <v>0.83</v>
      </c>
      <c r="P20" s="267" t="n">
        <v>0.74</v>
      </c>
      <c r="Q20" s="93" t="n">
        <v>0.92</v>
      </c>
      <c r="R20" s="260" t="n">
        <v>0.79</v>
      </c>
      <c r="S20" s="260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96" t="n">
        <v>0.82</v>
      </c>
      <c r="AE20" s="256">
        <f>R20-Q20</f>
        <v/>
      </c>
      <c r="AF20" s="256">
        <f>AC20-P20</f>
        <v/>
      </c>
      <c r="AG20" s="38">
        <f>R20-E20</f>
        <v/>
      </c>
      <c r="AH20" s="256">
        <f>R20-P20</f>
        <v/>
      </c>
    </row>
    <row r="21" ht="12.75" customHeight="1" thickBot="1">
      <c r="A21" s="66" t="inlineStr">
        <is>
          <t>UP</t>
        </is>
      </c>
      <c r="B21" s="268" t="n">
        <v>0.82</v>
      </c>
      <c r="C21" s="269" t="n">
        <v>0.85</v>
      </c>
      <c r="D21" s="270" t="n">
        <v>0.8</v>
      </c>
      <c r="E21" s="271" t="n">
        <v>0.78</v>
      </c>
      <c r="F21" s="271" t="n">
        <v>0.6899999999999999</v>
      </c>
      <c r="G21" s="271" t="n">
        <v>0.62</v>
      </c>
      <c r="H21" s="271" t="n">
        <v>0.65</v>
      </c>
      <c r="I21" s="271" t="n">
        <v>0.7</v>
      </c>
      <c r="J21" s="271" t="n">
        <v>0.82</v>
      </c>
      <c r="K21" s="271" t="n">
        <v>0.76</v>
      </c>
      <c r="L21" s="271" t="n">
        <v>0.6899999999999999</v>
      </c>
      <c r="M21" s="271" t="n">
        <v>0.8100000000000001</v>
      </c>
      <c r="N21" s="271" t="n">
        <v>0.6899999999999999</v>
      </c>
      <c r="O21" s="266" t="n">
        <v>0.77</v>
      </c>
      <c r="P21" s="272" t="n">
        <v>0.68</v>
      </c>
      <c r="Q21" s="94" t="n">
        <v>0.67</v>
      </c>
      <c r="R21" s="273" t="n">
        <v>0.74</v>
      </c>
      <c r="S21" s="273" t="n"/>
      <c r="T21" s="271" t="n"/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97" t="n">
        <v>0.62</v>
      </c>
      <c r="AE21" s="256">
        <f>R21-Q21</f>
        <v/>
      </c>
      <c r="AF21" s="256">
        <f>AC21-P21</f>
        <v/>
      </c>
      <c r="AG21" s="38">
        <f>R21-E21</f>
        <v/>
      </c>
      <c r="AH21" s="256">
        <f>R21-P21</f>
        <v/>
      </c>
    </row>
    <row r="22">
      <c r="AE22" s="256">
        <f>R22-Q22</f>
        <v/>
      </c>
      <c r="AF22" s="256">
        <f>AC22-P22</f>
        <v/>
      </c>
      <c r="AG22" s="38">
        <f>R22-E22</f>
        <v/>
      </c>
      <c r="AH22" s="256">
        <f>R22-P22</f>
        <v/>
      </c>
    </row>
    <row r="23">
      <c r="A23" s="1" t="inlineStr">
        <is>
          <t>*Marketwise data now updated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4"/>
  <sheetViews>
    <sheetView showGridLines="0" zoomScale="90" zoomScaleNormal="90" workbookViewId="0">
      <pane xSplit="2" ySplit="3" topLeftCell="C13" activePane="bottomRight" state="frozen"/>
      <selection pane="topRight" activeCell="A1" sqref="A1"/>
      <selection pane="bottomLeft" activeCell="A1" sqref="A1"/>
      <selection pane="bottomRight" activeCell="AM16" sqref="AM16"/>
    </sheetView>
  </sheetViews>
  <sheetFormatPr baseColWidth="8" defaultColWidth="8.85546875" defaultRowHeight="12"/>
  <cols>
    <col width="1.5703125" customWidth="1" style="1" min="1" max="1"/>
    <col width="10.5703125" bestFit="1" customWidth="1" style="1" min="2" max="2"/>
    <col width="7.5703125" bestFit="1" customWidth="1" style="1" min="3" max="3"/>
    <col width="4.28515625" bestFit="1" customWidth="1" style="1" min="4" max="4"/>
    <col width="5" bestFit="1" customWidth="1" style="1" min="5" max="5"/>
    <col width="7.5703125" bestFit="1" customWidth="1" style="1" min="6" max="6"/>
    <col width="4.28515625" bestFit="1" customWidth="1" style="1" min="7" max="7"/>
    <col width="5" bestFit="1" customWidth="1" style="1" min="8" max="8"/>
    <col hidden="1" width="7.5703125" customWidth="1" style="1" min="9" max="9"/>
    <col hidden="1" width="4.28515625" customWidth="1" style="1" min="10" max="10"/>
    <col hidden="1" width="5" customWidth="1" style="1" min="11" max="11"/>
    <col hidden="1" width="7.5703125" customWidth="1" style="1" min="12" max="12"/>
    <col hidden="1" width="4.28515625" customWidth="1" style="1" min="13" max="13"/>
    <col hidden="1" width="5" customWidth="1" style="1" min="14" max="14"/>
    <col hidden="1" width="7.5703125" customWidth="1" style="1" min="15" max="15"/>
    <col hidden="1" width="4.28515625" customWidth="1" style="1" min="16" max="16"/>
    <col hidden="1" width="5" customWidth="1" style="1" min="17" max="17"/>
    <col hidden="1" width="7.5703125" customWidth="1" style="1" min="18" max="18"/>
    <col hidden="1" width="5.7109375" customWidth="1" style="1" min="19" max="20"/>
    <col hidden="1" width="7.5703125" customWidth="1" style="1" min="21" max="21"/>
    <col hidden="1" width="4.28515625" customWidth="1" style="1" min="22" max="22"/>
    <col hidden="1" width="5" customWidth="1" style="1" min="23" max="23"/>
    <col hidden="1" width="7.5703125" customWidth="1" style="1" min="24" max="24"/>
    <col hidden="1" width="4.28515625" customWidth="1" style="1" min="25" max="25"/>
    <col hidden="1" width="5" customWidth="1" style="1" min="26" max="26"/>
    <col hidden="1" width="7.5703125" customWidth="1" style="1" min="27" max="27"/>
    <col hidden="1" width="4.28515625" customWidth="1" style="1" min="28" max="28"/>
    <col hidden="1" width="5" customWidth="1" style="1" min="29" max="29"/>
    <col hidden="1" width="7.5703125" customWidth="1" style="1" min="30" max="30"/>
    <col hidden="1" width="4.28515625" customWidth="1" style="1" min="31" max="31"/>
    <col hidden="1" width="5" customWidth="1" style="1" min="32" max="32"/>
    <col hidden="1" width="7.5703125" customWidth="1" style="1" min="33" max="33"/>
    <col hidden="1" width="4.28515625" customWidth="1" style="1" min="34" max="34"/>
    <col hidden="1" width="5" customWidth="1" style="1" min="35" max="35"/>
    <col hidden="1" width="7.5703125" customWidth="1" style="1" min="36" max="36"/>
    <col hidden="1" width="4.28515625" customWidth="1" style="1" min="37" max="37"/>
    <col hidden="1" width="5" customWidth="1" style="1" min="38" max="38"/>
    <col width="7.5703125" bestFit="1" customWidth="1" style="1" min="39" max="39"/>
    <col width="4.28515625" bestFit="1" customWidth="1" style="1" min="40" max="40"/>
    <col width="5" bestFit="1" customWidth="1" style="1" min="41" max="41"/>
    <col width="8.85546875" customWidth="1" style="1" min="42" max="16384"/>
  </cols>
  <sheetData>
    <row r="1" ht="10.9" customHeight="1"/>
    <row r="2" hidden="1" ht="12.75" customHeight="1" thickBot="1">
      <c r="B2" s="274" t="inlineStr">
        <is>
          <t>Brands</t>
        </is>
      </c>
      <c r="C2" s="47" t="inlineStr">
        <is>
          <t>April</t>
        </is>
      </c>
      <c r="D2" s="275" t="n"/>
      <c r="E2" s="276" t="n"/>
      <c r="F2" s="47" t="inlineStr">
        <is>
          <t>May</t>
        </is>
      </c>
      <c r="G2" s="275" t="n"/>
      <c r="H2" s="276" t="n"/>
      <c r="I2" s="47" t="inlineStr">
        <is>
          <t>June</t>
        </is>
      </c>
      <c r="J2" s="275" t="n"/>
      <c r="K2" s="276" t="n"/>
      <c r="L2" s="47" t="inlineStr">
        <is>
          <t>July</t>
        </is>
      </c>
      <c r="M2" s="275" t="n"/>
      <c r="N2" s="276" t="n"/>
      <c r="O2" s="47" t="inlineStr">
        <is>
          <t>August</t>
        </is>
      </c>
      <c r="P2" s="275" t="n"/>
      <c r="Q2" s="276" t="n"/>
      <c r="R2" s="47" t="inlineStr">
        <is>
          <t>September</t>
        </is>
      </c>
      <c r="S2" s="275" t="n"/>
      <c r="T2" s="276" t="n"/>
      <c r="U2" s="47" t="inlineStr">
        <is>
          <t>October</t>
        </is>
      </c>
      <c r="V2" s="275" t="n"/>
      <c r="W2" s="276" t="n"/>
      <c r="X2" s="47" t="inlineStr">
        <is>
          <t>November</t>
        </is>
      </c>
      <c r="Y2" s="275" t="n"/>
      <c r="Z2" s="276" t="n"/>
      <c r="AA2" s="47" t="inlineStr">
        <is>
          <t>December</t>
        </is>
      </c>
      <c r="AB2" s="275" t="n"/>
      <c r="AC2" s="276" t="n"/>
      <c r="AD2" s="182" t="inlineStr">
        <is>
          <t>January</t>
        </is>
      </c>
      <c r="AE2" s="275" t="n"/>
      <c r="AF2" s="276" t="n"/>
      <c r="AG2" s="182" t="inlineStr">
        <is>
          <t>Febraury</t>
        </is>
      </c>
      <c r="AH2" s="275" t="n"/>
      <c r="AI2" s="276" t="n"/>
      <c r="AJ2" s="47" t="inlineStr">
        <is>
          <t>March</t>
        </is>
      </c>
      <c r="AK2" s="275" t="n"/>
      <c r="AL2" s="276" t="n"/>
      <c r="AM2" s="277" t="inlineStr">
        <is>
          <t>YTD 25-26</t>
        </is>
      </c>
      <c r="AN2" s="275" t="n"/>
      <c r="AO2" s="278" t="n"/>
    </row>
    <row r="3" hidden="1">
      <c r="B3" s="41" t="n"/>
      <c r="C3" s="42" t="inlineStr">
        <is>
          <t>YT+Meta</t>
        </is>
      </c>
      <c r="D3" s="42" t="inlineStr">
        <is>
          <t>YT</t>
        </is>
      </c>
      <c r="E3" s="42" t="inlineStr">
        <is>
          <t>Meta</t>
        </is>
      </c>
      <c r="F3" s="42" t="inlineStr">
        <is>
          <t>YT+Meta</t>
        </is>
      </c>
      <c r="G3" s="42" t="inlineStr">
        <is>
          <t>YT</t>
        </is>
      </c>
      <c r="H3" s="42" t="inlineStr">
        <is>
          <t>Meta</t>
        </is>
      </c>
      <c r="I3" s="42" t="inlineStr">
        <is>
          <t>YT+Meta</t>
        </is>
      </c>
      <c r="J3" s="42" t="inlineStr">
        <is>
          <t>YT</t>
        </is>
      </c>
      <c r="K3" s="42" t="inlineStr">
        <is>
          <t>Meta</t>
        </is>
      </c>
      <c r="L3" s="42" t="inlineStr">
        <is>
          <t>YT+Meta</t>
        </is>
      </c>
      <c r="M3" s="42" t="inlineStr">
        <is>
          <t>YT</t>
        </is>
      </c>
      <c r="N3" s="42" t="inlineStr">
        <is>
          <t>Meta</t>
        </is>
      </c>
      <c r="O3" s="42" t="inlineStr">
        <is>
          <t>YT+Meta</t>
        </is>
      </c>
      <c r="P3" s="42" t="inlineStr">
        <is>
          <t>YT</t>
        </is>
      </c>
      <c r="Q3" s="42" t="inlineStr">
        <is>
          <t>Meta</t>
        </is>
      </c>
      <c r="R3" s="42" t="inlineStr">
        <is>
          <t>YT+Meta</t>
        </is>
      </c>
      <c r="S3" s="42" t="inlineStr">
        <is>
          <t>YT</t>
        </is>
      </c>
      <c r="T3" s="42" t="inlineStr">
        <is>
          <t>Meta</t>
        </is>
      </c>
      <c r="U3" s="42" t="inlineStr">
        <is>
          <t>YT+Meta</t>
        </is>
      </c>
      <c r="V3" s="42" t="inlineStr">
        <is>
          <t>YT</t>
        </is>
      </c>
      <c r="W3" s="42" t="inlineStr">
        <is>
          <t>Meta</t>
        </is>
      </c>
      <c r="X3" s="42" t="inlineStr">
        <is>
          <t>YT+Meta</t>
        </is>
      </c>
      <c r="Y3" s="42" t="inlineStr">
        <is>
          <t>YT</t>
        </is>
      </c>
      <c r="Z3" s="42" t="inlineStr">
        <is>
          <t>Meta</t>
        </is>
      </c>
      <c r="AA3" s="43" t="inlineStr">
        <is>
          <t>YT+Meta</t>
        </is>
      </c>
      <c r="AB3" s="43" t="inlineStr">
        <is>
          <t>YT</t>
        </is>
      </c>
      <c r="AC3" s="43" t="inlineStr">
        <is>
          <t>Meta</t>
        </is>
      </c>
      <c r="AD3" s="43" t="inlineStr">
        <is>
          <t>YT+Meta</t>
        </is>
      </c>
      <c r="AE3" s="43" t="inlineStr">
        <is>
          <t>YT</t>
        </is>
      </c>
      <c r="AF3" s="43" t="inlineStr">
        <is>
          <t>Meta</t>
        </is>
      </c>
      <c r="AG3" s="43" t="inlineStr">
        <is>
          <t>YT+Meta</t>
        </is>
      </c>
      <c r="AH3" s="43" t="inlineStr">
        <is>
          <t>YT</t>
        </is>
      </c>
      <c r="AI3" s="43" t="inlineStr">
        <is>
          <t>Meta</t>
        </is>
      </c>
      <c r="AJ3" s="42" t="inlineStr">
        <is>
          <t>YT+Meta</t>
        </is>
      </c>
      <c r="AK3" s="42" t="inlineStr">
        <is>
          <t>YT</t>
        </is>
      </c>
      <c r="AL3" s="42" t="inlineStr">
        <is>
          <t>Meta</t>
        </is>
      </c>
      <c r="AM3" s="42" t="inlineStr">
        <is>
          <t>YT+Meta</t>
        </is>
      </c>
      <c r="AN3" s="42" t="inlineStr">
        <is>
          <t>YT</t>
        </is>
      </c>
      <c r="AO3" s="42" t="inlineStr">
        <is>
          <t>Meta</t>
        </is>
      </c>
    </row>
    <row r="4" hidden="1">
      <c r="B4" s="26" t="inlineStr">
        <is>
          <t>Asian Paints*</t>
        </is>
      </c>
      <c r="C4" s="44" t="n">
        <v>0.53</v>
      </c>
      <c r="D4" s="44" t="n">
        <v>0.68</v>
      </c>
      <c r="E4" s="44" t="n">
        <v>0.46</v>
      </c>
      <c r="F4" s="44" t="n">
        <v>0.4</v>
      </c>
      <c r="G4" s="44" t="n">
        <v>0.51</v>
      </c>
      <c r="H4" s="44" t="n">
        <v>0.23</v>
      </c>
      <c r="I4" s="44" t="n">
        <v>0.42</v>
      </c>
      <c r="J4" s="44" t="n">
        <v>0.57</v>
      </c>
      <c r="K4" s="44" t="n">
        <v>0.36</v>
      </c>
      <c r="L4" s="44" t="n">
        <v>0.51</v>
      </c>
      <c r="M4" s="44" t="n">
        <v>0.39</v>
      </c>
      <c r="N4" s="44" t="n">
        <v>0.63</v>
      </c>
      <c r="O4" s="44" t="n">
        <v>0.23</v>
      </c>
      <c r="P4" s="44" t="n">
        <v>0.09</v>
      </c>
      <c r="Q4" s="44" t="n">
        <v>0.27</v>
      </c>
      <c r="R4" s="18" t="n">
        <v>0.37</v>
      </c>
      <c r="S4" s="18" t="n">
        <v>0.33</v>
      </c>
      <c r="T4" s="18" t="n">
        <v>0.47</v>
      </c>
      <c r="U4" s="17" t="n">
        <v>0.51</v>
      </c>
      <c r="V4" s="17" t="n">
        <v>0.58</v>
      </c>
      <c r="W4" s="17" t="n">
        <v>0.47</v>
      </c>
      <c r="X4" s="44" t="n">
        <v>0.35</v>
      </c>
      <c r="Y4" s="44" t="n">
        <v>0.35</v>
      </c>
      <c r="Z4" s="44" t="n">
        <v>0.39</v>
      </c>
      <c r="AA4" s="17" t="n">
        <v>0.29</v>
      </c>
      <c r="AB4" s="17" t="n">
        <v>0.18</v>
      </c>
      <c r="AC4" s="17" t="n">
        <v>0.26</v>
      </c>
      <c r="AD4" s="18" t="n">
        <v>0.32</v>
      </c>
      <c r="AE4" s="18" t="n">
        <v>0.32</v>
      </c>
      <c r="AF4" s="44" t="n">
        <v>0.4</v>
      </c>
      <c r="AG4" s="18" t="n">
        <v>0.29</v>
      </c>
      <c r="AH4" s="18" t="n">
        <v>0.23</v>
      </c>
      <c r="AI4" s="44" t="n">
        <v>0.32</v>
      </c>
      <c r="AJ4" s="18" t="n">
        <v>0.64</v>
      </c>
      <c r="AK4" s="18" t="n">
        <v>0.28</v>
      </c>
      <c r="AL4" s="44" t="n">
        <v>0.7</v>
      </c>
      <c r="AM4" s="44" t="n">
        <v>0.43</v>
      </c>
      <c r="AN4" s="44" t="n">
        <v>0.34</v>
      </c>
      <c r="AO4" s="44" t="n">
        <v>0.43</v>
      </c>
    </row>
    <row r="5" hidden="1">
      <c r="B5" s="26" t="inlineStr">
        <is>
          <t>Birla Opus</t>
        </is>
      </c>
      <c r="C5" s="44" t="n">
        <v>0.13</v>
      </c>
      <c r="D5" s="44" t="n">
        <v>0.2</v>
      </c>
      <c r="E5" s="44" t="n">
        <v>0.06</v>
      </c>
      <c r="F5" s="44" t="n">
        <v>0.08</v>
      </c>
      <c r="G5" s="44" t="n">
        <v>0.33</v>
      </c>
      <c r="H5" s="44" t="n">
        <v>0.17</v>
      </c>
      <c r="I5" s="44" t="n">
        <v>0.3</v>
      </c>
      <c r="J5" s="44" t="n">
        <v>0.12</v>
      </c>
      <c r="K5" s="44" t="n">
        <v>0.07000000000000001</v>
      </c>
      <c r="L5" s="44" t="n">
        <v>0.18</v>
      </c>
      <c r="M5" s="44" t="n">
        <v>0.51</v>
      </c>
      <c r="N5" s="44" t="n">
        <v>0.01</v>
      </c>
      <c r="O5" s="44" t="n">
        <v>0.27</v>
      </c>
      <c r="P5" s="44" t="n">
        <v>0.67</v>
      </c>
      <c r="Q5" s="44" t="n">
        <v>0.16</v>
      </c>
      <c r="R5" s="18" t="n">
        <v>0.19</v>
      </c>
      <c r="S5" s="18" t="n">
        <v>0.32</v>
      </c>
      <c r="T5" s="18" t="n">
        <v>0.12</v>
      </c>
      <c r="U5" s="17" t="n">
        <v>0.16</v>
      </c>
      <c r="V5" s="17" t="n">
        <v>0.28</v>
      </c>
      <c r="W5" s="17" t="n">
        <v>0.09</v>
      </c>
      <c r="X5" s="44" t="n">
        <v>0.37</v>
      </c>
      <c r="Y5" s="44" t="n">
        <v>0.52</v>
      </c>
      <c r="Z5" s="45" t="n">
        <v>0.25</v>
      </c>
      <c r="AA5" s="17" t="n">
        <v>0.32</v>
      </c>
      <c r="AB5" s="17" t="n">
        <v>0.5</v>
      </c>
      <c r="AC5" s="17" t="n">
        <v>0.24</v>
      </c>
      <c r="AD5" s="18" t="n">
        <v>0.36</v>
      </c>
      <c r="AE5" s="18" t="n">
        <v>0.49</v>
      </c>
      <c r="AF5" s="44" t="n">
        <v>0.27</v>
      </c>
      <c r="AG5" s="18" t="n">
        <v>0.52</v>
      </c>
      <c r="AH5" s="18" t="n">
        <v>0.5</v>
      </c>
      <c r="AI5" s="44" t="n">
        <v>0.33</v>
      </c>
      <c r="AJ5" s="18" t="n">
        <v>0.28</v>
      </c>
      <c r="AK5" s="18" t="n">
        <v>0.5600000000000001</v>
      </c>
      <c r="AL5" s="44" t="n">
        <v>0.11</v>
      </c>
      <c r="AM5" s="44" t="n">
        <v>0.29</v>
      </c>
      <c r="AN5" s="44" t="n">
        <v>0.45</v>
      </c>
      <c r="AO5" s="45" t="n">
        <v>0.18</v>
      </c>
    </row>
    <row r="6" hidden="1">
      <c r="B6" s="26" t="inlineStr">
        <is>
          <t>Dulux</t>
        </is>
      </c>
      <c r="C6" s="44" t="n">
        <v>0.04</v>
      </c>
      <c r="D6" s="44" t="n">
        <v>0</v>
      </c>
      <c r="E6" s="44" t="n">
        <v>0.08</v>
      </c>
      <c r="F6" s="44" t="n">
        <v>0.07000000000000001</v>
      </c>
      <c r="G6" s="44" t="n"/>
      <c r="H6" s="44" t="n">
        <v>0.13</v>
      </c>
      <c r="I6" s="44" t="n">
        <v>0.06</v>
      </c>
      <c r="J6" s="44" t="n"/>
      <c r="K6" s="44" t="n">
        <v>0.1</v>
      </c>
      <c r="L6" s="44" t="n">
        <v>0.01</v>
      </c>
      <c r="M6" s="44" t="n"/>
      <c r="N6" s="44" t="n">
        <v>0.02</v>
      </c>
      <c r="O6" s="44" t="n">
        <v>0.03</v>
      </c>
      <c r="P6" s="44" t="n">
        <v>1</v>
      </c>
      <c r="Q6" s="44" t="n">
        <v>0.03</v>
      </c>
      <c r="R6" s="18" t="n">
        <v>0.02</v>
      </c>
      <c r="S6" s="18" t="n">
        <v>0</v>
      </c>
      <c r="T6" s="18" t="n">
        <v>0.03</v>
      </c>
      <c r="U6" s="17" t="n">
        <v>0.03</v>
      </c>
      <c r="V6" s="17" t="n">
        <v>0</v>
      </c>
      <c r="W6" s="17" t="n">
        <v>0.05</v>
      </c>
      <c r="X6" s="44" t="n">
        <v>0.02</v>
      </c>
      <c r="Y6" s="44" t="n">
        <v>0</v>
      </c>
      <c r="Z6" s="44" t="n">
        <v>0.04</v>
      </c>
      <c r="AA6" s="17" t="n">
        <v>0.02</v>
      </c>
      <c r="AB6" s="17" t="n">
        <v>1</v>
      </c>
      <c r="AC6" s="17" t="n">
        <v>0.03</v>
      </c>
      <c r="AD6" s="18" t="n">
        <v>0.02</v>
      </c>
      <c r="AE6" s="18" t="n">
        <v>1</v>
      </c>
      <c r="AF6" s="44" t="n">
        <v>0.03</v>
      </c>
      <c r="AG6" s="18" t="n">
        <v>0.03</v>
      </c>
      <c r="AH6" s="18" t="n">
        <v>0</v>
      </c>
      <c r="AI6" s="44" t="n">
        <v>0.06</v>
      </c>
      <c r="AJ6" s="18" t="n">
        <v>0.02</v>
      </c>
      <c r="AK6" s="18" t="n">
        <v>0</v>
      </c>
      <c r="AL6" s="44" t="n">
        <v>0.03</v>
      </c>
      <c r="AM6" s="44" t="n">
        <v>0.03</v>
      </c>
      <c r="AN6" s="44" t="n">
        <v>0</v>
      </c>
      <c r="AO6" s="44" t="n">
        <v>0.05</v>
      </c>
    </row>
    <row r="7" hidden="1">
      <c r="B7" s="26" t="inlineStr">
        <is>
          <t>Nerolac</t>
        </is>
      </c>
      <c r="C7" s="44" t="n">
        <v>0.03</v>
      </c>
      <c r="D7" s="44" t="n">
        <v>0.02</v>
      </c>
      <c r="E7" s="44" t="n">
        <v>0.03</v>
      </c>
      <c r="F7" s="44" t="n">
        <v>0.04</v>
      </c>
      <c r="G7" s="44" t="n">
        <v>0.1</v>
      </c>
      <c r="H7" s="44" t="n">
        <v>0.07000000000000001</v>
      </c>
      <c r="I7" s="44" t="n">
        <v>0.09</v>
      </c>
      <c r="J7" s="44" t="n">
        <v>0.05</v>
      </c>
      <c r="K7" s="44" t="n">
        <v>0.04</v>
      </c>
      <c r="L7" s="44" t="n">
        <v>0.01</v>
      </c>
      <c r="M7" s="44" t="n">
        <v>0.01</v>
      </c>
      <c r="N7" s="44" t="n">
        <v>0.02</v>
      </c>
      <c r="O7" s="44" t="n">
        <v>0.03</v>
      </c>
      <c r="P7" s="44" t="n">
        <v>0.01</v>
      </c>
      <c r="Q7" s="44" t="n">
        <v>0.03</v>
      </c>
      <c r="R7" s="18" t="n">
        <v>0.04</v>
      </c>
      <c r="S7" s="18" t="n">
        <v>0.08</v>
      </c>
      <c r="T7" s="18" t="n">
        <v>0.04</v>
      </c>
      <c r="U7" s="17" t="n">
        <v>0.04</v>
      </c>
      <c r="V7" s="17" t="n">
        <v>0.03</v>
      </c>
      <c r="W7" s="17" t="n">
        <v>0.06</v>
      </c>
      <c r="X7" s="44" t="n">
        <v>0.01</v>
      </c>
      <c r="Y7" s="44" t="n">
        <v>0</v>
      </c>
      <c r="Z7" s="44" t="n">
        <v>0.02</v>
      </c>
      <c r="AA7" s="17" t="n">
        <v>0.01</v>
      </c>
      <c r="AB7" s="17" t="n">
        <v>0</v>
      </c>
      <c r="AC7" s="17" t="n">
        <v>0.01</v>
      </c>
      <c r="AD7" s="18" t="n">
        <v>0.01</v>
      </c>
      <c r="AE7" s="18" t="n">
        <v>0</v>
      </c>
      <c r="AF7" s="44" t="n">
        <v>0.02</v>
      </c>
      <c r="AG7" s="18" t="n">
        <v>0.02</v>
      </c>
      <c r="AH7" s="18" t="n">
        <v>0.01</v>
      </c>
      <c r="AI7" s="44" t="n">
        <v>0.03</v>
      </c>
      <c r="AJ7" s="18" t="n">
        <v>0.02</v>
      </c>
      <c r="AK7" s="18" t="n">
        <v>0.01</v>
      </c>
      <c r="AL7" s="44" t="n">
        <v>0.03</v>
      </c>
      <c r="AM7" s="44" t="n">
        <v>0.03</v>
      </c>
      <c r="AN7" s="44" t="n">
        <v>0.02</v>
      </c>
      <c r="AO7" s="44" t="n">
        <v>0.03</v>
      </c>
    </row>
    <row r="8" hidden="1">
      <c r="B8" s="26" t="inlineStr">
        <is>
          <t>Berger</t>
        </is>
      </c>
      <c r="C8" s="44" t="n">
        <v>0.14</v>
      </c>
      <c r="D8" s="44" t="n">
        <v>0.02</v>
      </c>
      <c r="E8" s="44" t="n">
        <v>0.22</v>
      </c>
      <c r="F8" s="44" t="n">
        <v>0.24</v>
      </c>
      <c r="G8" s="44" t="n">
        <v>0.03</v>
      </c>
      <c r="H8" s="44" t="n">
        <v>0.25</v>
      </c>
      <c r="I8" s="44" t="n">
        <v>0.15</v>
      </c>
      <c r="J8" s="44" t="n">
        <v>0.11</v>
      </c>
      <c r="K8" s="44" t="n">
        <v>0.3</v>
      </c>
      <c r="L8" s="44" t="n">
        <v>0.27</v>
      </c>
      <c r="M8" s="44" t="n">
        <v>0.1</v>
      </c>
      <c r="N8" s="44" t="n">
        <v>0.35</v>
      </c>
      <c r="O8" s="44" t="n">
        <v>0.39</v>
      </c>
      <c r="P8" s="44" t="n">
        <v>0.18</v>
      </c>
      <c r="Q8" s="44" t="n">
        <v>0.39</v>
      </c>
      <c r="R8" s="18" t="n">
        <v>0.31</v>
      </c>
      <c r="S8" s="18" t="n">
        <v>0.22</v>
      </c>
      <c r="T8" s="18" t="n">
        <v>0.33</v>
      </c>
      <c r="U8" s="17" t="n">
        <v>0.12</v>
      </c>
      <c r="V8" s="17" t="n">
        <v>0.04</v>
      </c>
      <c r="W8" s="17" t="n">
        <v>0.19</v>
      </c>
      <c r="X8" s="44" t="n">
        <v>0.11</v>
      </c>
      <c r="Y8" s="44" t="n">
        <v>0.13</v>
      </c>
      <c r="Z8" s="44" t="n">
        <v>0.11</v>
      </c>
      <c r="AA8" s="17" t="n">
        <v>0.34</v>
      </c>
      <c r="AB8" s="17" t="n">
        <v>0.2</v>
      </c>
      <c r="AC8" s="17" t="n">
        <v>0.38</v>
      </c>
      <c r="AD8" s="18" t="n">
        <v>0.14</v>
      </c>
      <c r="AE8" s="18" t="n">
        <v>0.21</v>
      </c>
      <c r="AF8" s="44" t="n">
        <v>0.16</v>
      </c>
      <c r="AG8" s="18" t="n">
        <v>0.09</v>
      </c>
      <c r="AH8" s="18" t="n">
        <v>0.12</v>
      </c>
      <c r="AI8" s="44" t="n">
        <v>0.09</v>
      </c>
      <c r="AJ8" s="18" t="n">
        <v>0.08</v>
      </c>
      <c r="AK8" s="18" t="n">
        <v>0.1</v>
      </c>
      <c r="AL8" s="44" t="n">
        <v>0.09</v>
      </c>
      <c r="AM8" s="44" t="n">
        <v>0.18</v>
      </c>
      <c r="AN8" s="44" t="n">
        <v>0.12</v>
      </c>
      <c r="AO8" s="44" t="n">
        <v>0.2</v>
      </c>
    </row>
    <row r="9" hidden="1">
      <c r="B9" s="26" t="inlineStr">
        <is>
          <t>Indigo</t>
        </is>
      </c>
      <c r="C9" s="44" t="n">
        <v>0.02</v>
      </c>
      <c r="D9" s="44" t="n">
        <v>0.01</v>
      </c>
      <c r="E9" s="44" t="n">
        <v>0.02</v>
      </c>
      <c r="F9" s="44" t="n">
        <v>0.04</v>
      </c>
      <c r="G9" s="44" t="n">
        <v>0.01</v>
      </c>
      <c r="H9" s="44" t="n">
        <v>0.02</v>
      </c>
      <c r="I9" s="44" t="n">
        <v>0.01</v>
      </c>
      <c r="J9" s="44" t="n">
        <v>0.05</v>
      </c>
      <c r="K9" s="44" t="n">
        <v>0.01</v>
      </c>
      <c r="L9" s="44" t="n">
        <v>0.01</v>
      </c>
      <c r="M9" s="44" t="n">
        <v>0.01</v>
      </c>
      <c r="N9" s="44" t="n">
        <v>0.01</v>
      </c>
      <c r="O9" s="44" t="n">
        <v>0.01</v>
      </c>
      <c r="P9" s="44" t="n">
        <v>0.02</v>
      </c>
      <c r="Q9" s="44" t="n">
        <v>0</v>
      </c>
      <c r="R9" s="18" t="n">
        <v>0.05</v>
      </c>
      <c r="S9" s="18" t="n">
        <v>0.04</v>
      </c>
      <c r="T9" s="18" t="n">
        <v>0.06</v>
      </c>
      <c r="U9" s="17" t="n">
        <v>0.04</v>
      </c>
      <c r="V9" s="17" t="n">
        <v>0.02</v>
      </c>
      <c r="W9" s="17" t="n">
        <v>0.05</v>
      </c>
      <c r="X9" s="44" t="n">
        <v>0.06</v>
      </c>
      <c r="Y9" s="44" t="n">
        <v>0.03</v>
      </c>
      <c r="Z9" s="44" t="n">
        <v>0.1</v>
      </c>
      <c r="AA9" s="17" t="n">
        <v>0.04</v>
      </c>
      <c r="AB9" s="17" t="n">
        <v>0.02</v>
      </c>
      <c r="AC9" s="17" t="n">
        <v>0.04</v>
      </c>
      <c r="AD9" s="18" t="n">
        <v>0.05</v>
      </c>
      <c r="AE9" s="18" t="n">
        <v>0.03</v>
      </c>
      <c r="AF9" s="44" t="n">
        <v>0.06</v>
      </c>
      <c r="AG9" s="18" t="n">
        <v>0.02</v>
      </c>
      <c r="AH9" s="18" t="n">
        <v>0.03</v>
      </c>
      <c r="AI9" s="44" t="n">
        <v>0.02</v>
      </c>
      <c r="AJ9" s="18" t="n">
        <v>0.01</v>
      </c>
      <c r="AK9" s="18" t="n">
        <v>0.03</v>
      </c>
      <c r="AL9" s="44" t="n">
        <v>0</v>
      </c>
      <c r="AM9" s="44" t="n">
        <v>0.03</v>
      </c>
      <c r="AN9" s="44" t="n">
        <v>0.02</v>
      </c>
      <c r="AO9" s="44" t="n">
        <v>0.03</v>
      </c>
    </row>
    <row r="10" hidden="1">
      <c r="B10" s="26" t="inlineStr">
        <is>
          <t>Nippon</t>
        </is>
      </c>
      <c r="C10" s="44" t="n">
        <v>0.01</v>
      </c>
      <c r="D10" s="44" t="n">
        <v>0</v>
      </c>
      <c r="E10" s="44" t="n">
        <v>0.01</v>
      </c>
      <c r="F10" s="44" t="n">
        <v>0.03</v>
      </c>
      <c r="G10" s="44" t="n">
        <v>0.01</v>
      </c>
      <c r="H10" s="44" t="n">
        <v>0.01</v>
      </c>
      <c r="I10" s="44" t="n">
        <v>0.01</v>
      </c>
      <c r="J10" s="44" t="n">
        <v>0.01</v>
      </c>
      <c r="K10" s="44" t="n">
        <v>0.04</v>
      </c>
      <c r="L10" s="44" t="n">
        <v>0.01</v>
      </c>
      <c r="M10" s="44" t="n">
        <v>0</v>
      </c>
      <c r="N10" s="44" t="n">
        <v>0.01</v>
      </c>
      <c r="O10" s="44" t="n">
        <v>0</v>
      </c>
      <c r="P10" s="44" t="n">
        <v>0</v>
      </c>
      <c r="Q10" s="44" t="n">
        <v>0</v>
      </c>
      <c r="R10" s="18" t="n">
        <v>0</v>
      </c>
      <c r="S10" s="18" t="n">
        <v>1</v>
      </c>
      <c r="T10" s="18" t="n">
        <v>0.01</v>
      </c>
      <c r="U10" s="17" t="n">
        <v>0.01</v>
      </c>
      <c r="V10" s="17" t="n">
        <v>0</v>
      </c>
      <c r="W10" s="17" t="n">
        <v>0.01</v>
      </c>
      <c r="X10" s="44" t="n">
        <v>0.03</v>
      </c>
      <c r="Y10" s="44" t="n">
        <v>0</v>
      </c>
      <c r="Z10" s="44" t="n">
        <v>0.04</v>
      </c>
      <c r="AA10" s="17" t="n">
        <v>0.01</v>
      </c>
      <c r="AB10" s="17" t="n">
        <v>0</v>
      </c>
      <c r="AC10" s="17" t="n">
        <v>0.02</v>
      </c>
      <c r="AD10" s="18" t="n">
        <v>0.01</v>
      </c>
      <c r="AE10" s="18" t="n">
        <v>0</v>
      </c>
      <c r="AF10" s="44" t="n">
        <v>0.02</v>
      </c>
      <c r="AG10" s="18" t="n">
        <v>0.03</v>
      </c>
      <c r="AH10" s="18" t="n">
        <v>1</v>
      </c>
      <c r="AI10" s="44" t="n">
        <v>0.04</v>
      </c>
      <c r="AJ10" s="18" t="n">
        <v>0.02</v>
      </c>
      <c r="AK10" s="18" t="n">
        <v>0</v>
      </c>
      <c r="AL10" s="44" t="n">
        <v>0.02</v>
      </c>
      <c r="AM10" s="44" t="n">
        <v>0.01</v>
      </c>
      <c r="AN10" s="44" t="n">
        <v>0</v>
      </c>
      <c r="AO10" s="44" t="n">
        <v>0.02</v>
      </c>
    </row>
    <row r="11" hidden="1">
      <c r="B11" s="26" t="inlineStr">
        <is>
          <t>JSW Paints</t>
        </is>
      </c>
      <c r="C11" s="44" t="n">
        <v>0.03</v>
      </c>
      <c r="D11" s="44" t="n">
        <v>0.01</v>
      </c>
      <c r="E11" s="44" t="n">
        <v>0.05</v>
      </c>
      <c r="F11" s="44" t="n">
        <v>0.05</v>
      </c>
      <c r="G11" s="44" t="n">
        <v>0</v>
      </c>
      <c r="H11" s="44" t="n">
        <v>0.08</v>
      </c>
      <c r="I11" s="44" t="n">
        <v>0.04</v>
      </c>
      <c r="J11" s="44" t="n"/>
      <c r="K11" s="44" t="n">
        <v>0.08</v>
      </c>
      <c r="L11" s="44" t="n">
        <v>0.01</v>
      </c>
      <c r="M11" s="44" t="n">
        <v>0</v>
      </c>
      <c r="N11" s="44" t="n">
        <v>0.02</v>
      </c>
      <c r="O11" s="44" t="n">
        <v>0.05</v>
      </c>
      <c r="P11" s="44" t="n">
        <v>0</v>
      </c>
      <c r="Q11" s="44" t="n">
        <v>0.06</v>
      </c>
      <c r="R11" s="18" t="n">
        <v>0.01</v>
      </c>
      <c r="S11" s="18" t="n">
        <v>0</v>
      </c>
      <c r="T11" s="18" t="n">
        <v>0.01</v>
      </c>
      <c r="U11" s="17" t="n">
        <v>0.05</v>
      </c>
      <c r="V11" s="17" t="n">
        <v>0.03</v>
      </c>
      <c r="W11" s="17" t="n">
        <v>0.07000000000000001</v>
      </c>
      <c r="X11" s="44" t="n">
        <v>0.01</v>
      </c>
      <c r="Y11" s="44" t="n">
        <v>0</v>
      </c>
      <c r="Z11" s="44" t="n">
        <v>0.02</v>
      </c>
      <c r="AA11" s="17" t="n">
        <v>0</v>
      </c>
      <c r="AB11" s="17" t="n">
        <v>0</v>
      </c>
      <c r="AC11" s="17" t="n">
        <v>0.01</v>
      </c>
      <c r="AD11" s="18" t="n">
        <v>0.01</v>
      </c>
      <c r="AE11" s="18" t="n">
        <v>1</v>
      </c>
      <c r="AF11" s="44" t="n">
        <v>0.01</v>
      </c>
      <c r="AG11" s="18" t="n">
        <v>0.01</v>
      </c>
      <c r="AH11" s="18" t="n">
        <v>1</v>
      </c>
      <c r="AI11" s="44" t="n">
        <v>0.01</v>
      </c>
      <c r="AJ11" s="18" t="n">
        <v>0.02</v>
      </c>
      <c r="AK11" s="18" t="n">
        <v>0</v>
      </c>
      <c r="AL11" s="44" t="n">
        <v>0.02</v>
      </c>
      <c r="AM11" s="44" t="n">
        <v>0.02</v>
      </c>
      <c r="AN11" s="44" t="n">
        <v>0</v>
      </c>
      <c r="AO11" s="44" t="n">
        <v>0.03</v>
      </c>
    </row>
    <row r="12" hidden="1">
      <c r="B12" s="26" t="inlineStr">
        <is>
          <t>Dr. Fixit</t>
        </is>
      </c>
      <c r="C12" s="44" t="n">
        <v>0.02</v>
      </c>
      <c r="D12" s="44" t="n">
        <v>0.03</v>
      </c>
      <c r="E12" s="44" t="n">
        <v>0.01</v>
      </c>
      <c r="F12" s="44" t="n">
        <v>0.02</v>
      </c>
      <c r="G12" s="44" t="n">
        <v>0.02</v>
      </c>
      <c r="H12" s="44" t="n">
        <v>0.01</v>
      </c>
      <c r="I12" s="44" t="n">
        <v>0.02</v>
      </c>
      <c r="J12" s="44" t="n">
        <v>0.02</v>
      </c>
      <c r="K12" s="44" t="n">
        <v>0.02</v>
      </c>
      <c r="L12" s="44" t="n">
        <v>0.01</v>
      </c>
      <c r="M12" s="44" t="n"/>
      <c r="N12" s="44" t="n">
        <v>0.02</v>
      </c>
      <c r="O12" s="44" t="n">
        <v>1</v>
      </c>
      <c r="P12" s="44" t="n">
        <v>1</v>
      </c>
      <c r="Q12" s="44" t="n">
        <v>1</v>
      </c>
      <c r="R12" s="8" t="n">
        <v>0.01</v>
      </c>
      <c r="S12" s="8" t="n">
        <v>0</v>
      </c>
      <c r="T12" s="8" t="n">
        <v>0</v>
      </c>
      <c r="U12" s="17" t="n">
        <v>1</v>
      </c>
      <c r="V12" s="17" t="n">
        <v>0</v>
      </c>
      <c r="W12" s="17" t="n">
        <v>0</v>
      </c>
      <c r="X12" s="44" t="n">
        <v>0</v>
      </c>
      <c r="Y12" s="44" t="n">
        <v>0</v>
      </c>
      <c r="Z12" s="44" t="n">
        <v>1</v>
      </c>
      <c r="AA12" s="17" t="n">
        <v>0.01</v>
      </c>
      <c r="AB12" s="17" t="n">
        <v>0.01</v>
      </c>
      <c r="AC12" s="17" t="n">
        <v>0.01</v>
      </c>
      <c r="AD12" s="18" t="n">
        <v>0.01</v>
      </c>
      <c r="AE12" s="18" t="n">
        <v>0.02</v>
      </c>
      <c r="AF12" s="44" t="n">
        <v>0.01</v>
      </c>
      <c r="AG12" s="18" t="n">
        <v>0.01</v>
      </c>
      <c r="AH12" s="18" t="n">
        <v>0.02</v>
      </c>
      <c r="AI12" s="44" t="n">
        <v>0.01</v>
      </c>
      <c r="AJ12" s="18" t="n">
        <v>0.01</v>
      </c>
      <c r="AK12" s="18" t="n">
        <v>0.02</v>
      </c>
      <c r="AL12" s="44" t="n">
        <v>0.01</v>
      </c>
      <c r="AM12" s="44" t="n">
        <v>0.01</v>
      </c>
      <c r="AN12" s="44" t="n">
        <v>0.01</v>
      </c>
      <c r="AO12" s="44" t="n">
        <v>0.01</v>
      </c>
    </row>
    <row r="13" ht="12.75" customHeight="1" thickBot="1">
      <c r="AD13" s="38" t="n"/>
    </row>
    <row r="14" ht="12.75" customHeight="1" thickBot="1">
      <c r="B14" s="274" t="inlineStr">
        <is>
          <t>Brands</t>
        </is>
      </c>
      <c r="C14" s="47" t="inlineStr">
        <is>
          <t>April (Directional)</t>
        </is>
      </c>
      <c r="D14" s="275" t="n"/>
      <c r="E14" s="276" t="n"/>
      <c r="F14" s="47" t="inlineStr">
        <is>
          <t>May (Directional)</t>
        </is>
      </c>
      <c r="G14" s="275" t="n"/>
      <c r="H14" s="276" t="n"/>
      <c r="I14" s="47" t="inlineStr">
        <is>
          <t>June</t>
        </is>
      </c>
      <c r="J14" s="275" t="n"/>
      <c r="K14" s="276" t="n"/>
      <c r="L14" s="47" t="inlineStr">
        <is>
          <t>July</t>
        </is>
      </c>
      <c r="M14" s="275" t="n"/>
      <c r="N14" s="276" t="n"/>
      <c r="O14" s="47" t="inlineStr">
        <is>
          <t>August</t>
        </is>
      </c>
      <c r="P14" s="275" t="n"/>
      <c r="Q14" s="276" t="n"/>
      <c r="R14" s="47" t="inlineStr">
        <is>
          <t>September</t>
        </is>
      </c>
      <c r="S14" s="275" t="n"/>
      <c r="T14" s="276" t="n"/>
      <c r="U14" s="47" t="inlineStr">
        <is>
          <t>October</t>
        </is>
      </c>
      <c r="V14" s="275" t="n"/>
      <c r="W14" s="276" t="n"/>
      <c r="X14" s="47" t="inlineStr">
        <is>
          <t>November</t>
        </is>
      </c>
      <c r="Y14" s="275" t="n"/>
      <c r="Z14" s="276" t="n"/>
      <c r="AA14" s="47" t="inlineStr">
        <is>
          <t>December</t>
        </is>
      </c>
      <c r="AB14" s="275" t="n"/>
      <c r="AC14" s="276" t="n"/>
      <c r="AD14" s="182" t="inlineStr">
        <is>
          <t>January</t>
        </is>
      </c>
      <c r="AE14" s="275" t="n"/>
      <c r="AF14" s="276" t="n"/>
      <c r="AG14" s="182" t="inlineStr">
        <is>
          <t>Febraury</t>
        </is>
      </c>
      <c r="AH14" s="275" t="n"/>
      <c r="AI14" s="276" t="n"/>
      <c r="AJ14" s="47" t="inlineStr">
        <is>
          <t>March</t>
        </is>
      </c>
      <c r="AK14" s="275" t="n"/>
      <c r="AL14" s="276" t="n"/>
      <c r="AM14" s="277" t="inlineStr">
        <is>
          <t>YTD 26-27</t>
        </is>
      </c>
      <c r="AN14" s="275" t="n"/>
      <c r="AO14" s="278" t="n"/>
    </row>
    <row r="15">
      <c r="B15" s="41" t="n"/>
      <c r="C15" s="42" t="inlineStr">
        <is>
          <t>YT+Meta</t>
        </is>
      </c>
      <c r="D15" s="42" t="inlineStr">
        <is>
          <t>YT</t>
        </is>
      </c>
      <c r="E15" s="42" t="inlineStr">
        <is>
          <t>Meta</t>
        </is>
      </c>
      <c r="F15" s="42" t="inlineStr">
        <is>
          <t>YT+Meta</t>
        </is>
      </c>
      <c r="G15" s="42" t="inlineStr">
        <is>
          <t>YT</t>
        </is>
      </c>
      <c r="H15" s="42" t="inlineStr">
        <is>
          <t>Meta</t>
        </is>
      </c>
      <c r="I15" s="42" t="inlineStr">
        <is>
          <t>YT+Meta</t>
        </is>
      </c>
      <c r="J15" s="42" t="inlineStr">
        <is>
          <t>YT</t>
        </is>
      </c>
      <c r="K15" s="42" t="inlineStr">
        <is>
          <t>Meta</t>
        </is>
      </c>
      <c r="L15" s="42" t="inlineStr">
        <is>
          <t>YT+Meta</t>
        </is>
      </c>
      <c r="M15" s="42" t="inlineStr">
        <is>
          <t>YT</t>
        </is>
      </c>
      <c r="N15" s="42" t="inlineStr">
        <is>
          <t>Meta</t>
        </is>
      </c>
      <c r="O15" s="42" t="inlineStr">
        <is>
          <t>YT+Meta</t>
        </is>
      </c>
      <c r="P15" s="42" t="inlineStr">
        <is>
          <t>YT</t>
        </is>
      </c>
      <c r="Q15" s="42" t="inlineStr">
        <is>
          <t>Meta</t>
        </is>
      </c>
      <c r="R15" s="42" t="inlineStr">
        <is>
          <t>YT+Meta</t>
        </is>
      </c>
      <c r="S15" s="42" t="inlineStr">
        <is>
          <t>YT</t>
        </is>
      </c>
      <c r="T15" s="42" t="inlineStr">
        <is>
          <t>Meta</t>
        </is>
      </c>
      <c r="U15" s="42" t="inlineStr">
        <is>
          <t>YT+Meta</t>
        </is>
      </c>
      <c r="V15" s="42" t="inlineStr">
        <is>
          <t>YT</t>
        </is>
      </c>
      <c r="W15" s="42" t="inlineStr">
        <is>
          <t>Meta</t>
        </is>
      </c>
      <c r="X15" s="42" t="inlineStr">
        <is>
          <t>YT+Meta</t>
        </is>
      </c>
      <c r="Y15" s="42" t="inlineStr">
        <is>
          <t>YT</t>
        </is>
      </c>
      <c r="Z15" s="42" t="inlineStr">
        <is>
          <t>Meta</t>
        </is>
      </c>
      <c r="AA15" s="43" t="inlineStr">
        <is>
          <t>YT+Meta</t>
        </is>
      </c>
      <c r="AB15" s="43" t="inlineStr">
        <is>
          <t>YT</t>
        </is>
      </c>
      <c r="AC15" s="43" t="inlineStr">
        <is>
          <t>Meta</t>
        </is>
      </c>
      <c r="AD15" s="43" t="inlineStr">
        <is>
          <t>YT+Meta</t>
        </is>
      </c>
      <c r="AE15" s="43" t="inlineStr">
        <is>
          <t>YT</t>
        </is>
      </c>
      <c r="AF15" s="43" t="inlineStr">
        <is>
          <t>Meta</t>
        </is>
      </c>
      <c r="AG15" s="43" t="inlineStr">
        <is>
          <t>YT+Meta</t>
        </is>
      </c>
      <c r="AH15" s="43" t="inlineStr">
        <is>
          <t>YT</t>
        </is>
      </c>
      <c r="AI15" s="43" t="inlineStr">
        <is>
          <t>Meta</t>
        </is>
      </c>
      <c r="AJ15" s="42" t="inlineStr">
        <is>
          <t>YT+Meta</t>
        </is>
      </c>
      <c r="AK15" s="42" t="inlineStr">
        <is>
          <t>YT</t>
        </is>
      </c>
      <c r="AL15" s="42" t="inlineStr">
        <is>
          <t>Meta</t>
        </is>
      </c>
      <c r="AM15" s="42" t="inlineStr">
        <is>
          <t>YT+Meta</t>
        </is>
      </c>
      <c r="AN15" s="42" t="inlineStr">
        <is>
          <t>YT</t>
        </is>
      </c>
      <c r="AO15" s="42" t="inlineStr">
        <is>
          <t>Meta</t>
        </is>
      </c>
    </row>
    <row r="16">
      <c r="B16" s="26" t="inlineStr">
        <is>
          <t>Asian Paints*</t>
        </is>
      </c>
      <c r="C16" s="44" t="n">
        <v>0.51</v>
      </c>
      <c r="D16" s="44" t="n">
        <v>0.49</v>
      </c>
      <c r="E16" s="44" t="n">
        <v>0.35</v>
      </c>
      <c r="F16" s="44" t="n">
        <v>0.38</v>
      </c>
      <c r="G16" s="44" t="n">
        <v>0.31</v>
      </c>
      <c r="H16" s="44" t="n">
        <v>0.29</v>
      </c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18" t="n"/>
      <c r="S16" s="18" t="n"/>
      <c r="T16" s="18" t="n"/>
      <c r="U16" s="17" t="n"/>
      <c r="V16" s="17" t="n"/>
      <c r="W16" s="17" t="n"/>
      <c r="X16" s="44" t="n"/>
      <c r="Y16" s="44" t="n"/>
      <c r="Z16" s="44" t="n"/>
      <c r="AA16" s="17" t="n"/>
      <c r="AB16" s="17" t="n"/>
      <c r="AC16" s="17" t="n"/>
      <c r="AD16" s="18" t="n"/>
      <c r="AE16" s="18" t="n"/>
      <c r="AF16" s="44" t="n"/>
      <c r="AG16" s="18" t="n"/>
      <c r="AH16" s="18" t="n"/>
      <c r="AI16" s="44" t="n"/>
      <c r="AJ16" s="18" t="n"/>
      <c r="AK16" s="18" t="n"/>
      <c r="AL16" s="44" t="n"/>
      <c r="AM16" s="44" t="n">
        <v>0.43</v>
      </c>
      <c r="AN16" s="44" t="n">
        <v>0.5</v>
      </c>
      <c r="AO16" s="44" t="n">
        <v>0.42</v>
      </c>
    </row>
    <row r="17">
      <c r="B17" s="26" t="inlineStr">
        <is>
          <t>Birla Opus</t>
        </is>
      </c>
      <c r="C17" s="44" t="n">
        <v>0.24</v>
      </c>
      <c r="D17" s="44" t="n">
        <v>0.36</v>
      </c>
      <c r="E17" s="44" t="n">
        <v>0.23</v>
      </c>
      <c r="F17" s="44" t="n">
        <v>0.41</v>
      </c>
      <c r="G17" s="44" t="n">
        <v>0.48</v>
      </c>
      <c r="H17" s="44" t="n">
        <v>0.39</v>
      </c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18" t="n"/>
      <c r="S17" s="18" t="n"/>
      <c r="T17" s="18" t="n"/>
      <c r="U17" s="17" t="n"/>
      <c r="V17" s="17" t="n"/>
      <c r="W17" s="17" t="n"/>
      <c r="X17" s="44" t="n"/>
      <c r="Y17" s="44" t="n"/>
      <c r="Z17" s="45" t="n"/>
      <c r="AA17" s="17" t="n"/>
      <c r="AB17" s="17" t="n"/>
      <c r="AC17" s="17" t="n"/>
      <c r="AD17" s="18" t="n"/>
      <c r="AE17" s="18" t="n"/>
      <c r="AF17" s="44" t="n"/>
      <c r="AG17" s="18" t="n"/>
      <c r="AH17" s="18" t="n"/>
      <c r="AI17" s="44" t="n"/>
      <c r="AJ17" s="18" t="n"/>
      <c r="AK17" s="18" t="n"/>
      <c r="AL17" s="44" t="n"/>
      <c r="AM17" s="44" t="n">
        <v>0.37</v>
      </c>
      <c r="AN17" s="44" t="n">
        <v>0.4</v>
      </c>
      <c r="AO17" s="45" t="n">
        <v>0.37</v>
      </c>
    </row>
    <row r="18">
      <c r="B18" s="26" t="inlineStr">
        <is>
          <t>Dulux</t>
        </is>
      </c>
      <c r="C18" s="44" t="n">
        <v>0.03</v>
      </c>
      <c r="D18" s="44" t="n">
        <v>0</v>
      </c>
      <c r="E18" s="44" t="n">
        <v>0.07000000000000001</v>
      </c>
      <c r="F18" s="44" t="n">
        <v>0.01</v>
      </c>
      <c r="G18" s="44" t="n">
        <v>0</v>
      </c>
      <c r="H18" s="44" t="n">
        <v>0.03</v>
      </c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18" t="n"/>
      <c r="S18" s="18" t="n"/>
      <c r="T18" s="18" t="n"/>
      <c r="U18" s="17" t="n"/>
      <c r="V18" s="17" t="n"/>
      <c r="W18" s="17" t="n"/>
      <c r="X18" s="44" t="n"/>
      <c r="Y18" s="44" t="n"/>
      <c r="Z18" s="44" t="n"/>
      <c r="AA18" s="17" t="n"/>
      <c r="AB18" s="17" t="n"/>
      <c r="AC18" s="17" t="n"/>
      <c r="AD18" s="18" t="n"/>
      <c r="AE18" s="18" t="n"/>
      <c r="AF18" s="44" t="n"/>
      <c r="AG18" s="18" t="n"/>
      <c r="AH18" s="18" t="n"/>
      <c r="AI18" s="44" t="n"/>
      <c r="AJ18" s="18" t="n"/>
      <c r="AK18" s="18" t="n"/>
      <c r="AL18" s="44" t="n"/>
      <c r="AM18" s="44" t="n">
        <v>0.02</v>
      </c>
      <c r="AN18" s="44" t="n">
        <v>0</v>
      </c>
      <c r="AO18" s="44" t="n">
        <v>0.04</v>
      </c>
    </row>
    <row r="19">
      <c r="B19" s="26" t="inlineStr">
        <is>
          <t>Nerolac</t>
        </is>
      </c>
      <c r="C19" s="44" t="n">
        <v>0.02</v>
      </c>
      <c r="D19" s="44" t="n">
        <v>0.01</v>
      </c>
      <c r="E19" s="44" t="n">
        <v>0.03</v>
      </c>
      <c r="F19" s="44" t="n">
        <v>0.01</v>
      </c>
      <c r="G19" s="44" t="n">
        <v>0</v>
      </c>
      <c r="H19" s="44" t="n">
        <v>0.02</v>
      </c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18" t="n"/>
      <c r="S19" s="18" t="n"/>
      <c r="T19" s="18" t="n"/>
      <c r="U19" s="17" t="n"/>
      <c r="V19" s="17" t="n"/>
      <c r="W19" s="17" t="n"/>
      <c r="X19" s="44" t="n"/>
      <c r="Y19" s="44" t="n"/>
      <c r="Z19" s="44" t="n"/>
      <c r="AA19" s="17" t="n"/>
      <c r="AB19" s="17" t="n"/>
      <c r="AC19" s="17" t="n"/>
      <c r="AD19" s="18" t="n"/>
      <c r="AE19" s="18" t="n"/>
      <c r="AF19" s="44" t="n"/>
      <c r="AG19" s="18" t="n"/>
      <c r="AH19" s="18" t="n"/>
      <c r="AI19" s="44" t="n"/>
      <c r="AJ19" s="18" t="n"/>
      <c r="AK19" s="18" t="n"/>
      <c r="AL19" s="44" t="n"/>
      <c r="AM19" s="44" t="n">
        <v>0.02</v>
      </c>
      <c r="AN19" s="44" t="n">
        <v>0.01</v>
      </c>
      <c r="AO19" s="44" t="n">
        <v>0.02</v>
      </c>
    </row>
    <row r="20">
      <c r="B20" s="26" t="inlineStr">
        <is>
          <t>Berger</t>
        </is>
      </c>
      <c r="C20" s="44" t="n">
        <v>0.13</v>
      </c>
      <c r="D20" s="44" t="n">
        <v>0.07000000000000001</v>
      </c>
      <c r="E20" s="44" t="n">
        <v>0.21</v>
      </c>
      <c r="F20" s="44" t="n">
        <v>0.06</v>
      </c>
      <c r="G20" s="44" t="n">
        <v>0.04</v>
      </c>
      <c r="H20" s="44" t="n">
        <v>0.11</v>
      </c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18" t="n"/>
      <c r="S20" s="18" t="n"/>
      <c r="T20" s="18" t="n"/>
      <c r="U20" s="17" t="n"/>
      <c r="V20" s="17" t="n"/>
      <c r="W20" s="17" t="n"/>
      <c r="X20" s="44" t="n"/>
      <c r="Y20" s="44" t="n"/>
      <c r="Z20" s="44" t="n"/>
      <c r="AA20" s="17" t="n"/>
      <c r="AB20" s="17" t="n"/>
      <c r="AC20" s="17" t="n"/>
      <c r="AD20" s="18" t="n"/>
      <c r="AE20" s="18" t="n"/>
      <c r="AF20" s="44" t="n"/>
      <c r="AG20" s="18" t="n"/>
      <c r="AH20" s="18" t="n"/>
      <c r="AI20" s="44" t="n"/>
      <c r="AJ20" s="18" t="n"/>
      <c r="AK20" s="18" t="n"/>
      <c r="AL20" s="44" t="n"/>
      <c r="AM20" s="44" t="n">
        <v>0.09</v>
      </c>
      <c r="AN20" s="44" t="n">
        <v>0.07000000000000001</v>
      </c>
      <c r="AO20" s="44" t="n">
        <v>0.13</v>
      </c>
    </row>
    <row r="21">
      <c r="B21" s="26" t="inlineStr">
        <is>
          <t>Indigo</t>
        </is>
      </c>
      <c r="C21" s="44" t="n">
        <v>0.02</v>
      </c>
      <c r="D21" s="44" t="n">
        <v>0.02</v>
      </c>
      <c r="E21" s="44" t="n">
        <v>0.03</v>
      </c>
      <c r="F21" s="44" t="n">
        <v>0.01</v>
      </c>
      <c r="G21" s="44" t="n">
        <v>0.01</v>
      </c>
      <c r="H21" s="44" t="n">
        <v>0.01</v>
      </c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18" t="n"/>
      <c r="S21" s="18" t="n"/>
      <c r="T21" s="18" t="n"/>
      <c r="U21" s="17" t="n"/>
      <c r="V21" s="17" t="n"/>
      <c r="W21" s="17" t="n"/>
      <c r="X21" s="44" t="n"/>
      <c r="Y21" s="44" t="n"/>
      <c r="Z21" s="44" t="n"/>
      <c r="AA21" s="17" t="n"/>
      <c r="AB21" s="17" t="n"/>
      <c r="AC21" s="17" t="n"/>
      <c r="AD21" s="18" t="n"/>
      <c r="AE21" s="18" t="n"/>
      <c r="AF21" s="44" t="n"/>
      <c r="AG21" s="18" t="n"/>
      <c r="AH21" s="18" t="n"/>
      <c r="AI21" s="44" t="n"/>
      <c r="AJ21" s="18" t="n"/>
      <c r="AK21" s="18" t="n"/>
      <c r="AL21" s="44" t="n"/>
      <c r="AM21" s="44" t="n">
        <v>0.02</v>
      </c>
      <c r="AN21" s="44" t="n">
        <v>0.01</v>
      </c>
      <c r="AO21" s="44" t="n">
        <v>0.02</v>
      </c>
    </row>
    <row r="22">
      <c r="B22" s="26" t="inlineStr">
        <is>
          <t>Nippon</t>
        </is>
      </c>
      <c r="C22" s="44" t="n">
        <v>0.01</v>
      </c>
      <c r="D22" s="44" t="n">
        <v>0</v>
      </c>
      <c r="E22" s="44" t="n">
        <v>0.03</v>
      </c>
      <c r="F22" s="44" t="n">
        <v>0.01</v>
      </c>
      <c r="G22" s="44" t="n">
        <v>0</v>
      </c>
      <c r="H22" s="44" t="n">
        <v>0.01</v>
      </c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18" t="n"/>
      <c r="S22" s="18" t="n"/>
      <c r="T22" s="18" t="n"/>
      <c r="U22" s="17" t="n"/>
      <c r="V22" s="17" t="n"/>
      <c r="W22" s="17" t="n"/>
      <c r="X22" s="44" t="n"/>
      <c r="Y22" s="44" t="n"/>
      <c r="Z22" s="44" t="n"/>
      <c r="AA22" s="17" t="n"/>
      <c r="AB22" s="17" t="n"/>
      <c r="AC22" s="17" t="n"/>
      <c r="AD22" s="18" t="n"/>
      <c r="AE22" s="18" t="n"/>
      <c r="AF22" s="44" t="n"/>
      <c r="AG22" s="18" t="n"/>
      <c r="AH22" s="18" t="n"/>
      <c r="AI22" s="44" t="n"/>
      <c r="AJ22" s="18" t="n"/>
      <c r="AK22" s="18" t="n"/>
      <c r="AL22" s="44" t="n"/>
      <c r="AM22" s="44" t="n">
        <v>0.01</v>
      </c>
      <c r="AN22" s="44" t="n">
        <v>0</v>
      </c>
      <c r="AO22" s="44" t="n">
        <v>0.02</v>
      </c>
    </row>
    <row r="23">
      <c r="B23" s="26" t="inlineStr">
        <is>
          <t>JSW Paints</t>
        </is>
      </c>
      <c r="C23" s="44" t="n">
        <v>0.02</v>
      </c>
      <c r="D23" s="44" t="n">
        <v>0</v>
      </c>
      <c r="E23" s="44" t="n">
        <v>0.03</v>
      </c>
      <c r="F23" s="44" t="n">
        <v>0.04</v>
      </c>
      <c r="G23" s="44" t="n">
        <v>0.06</v>
      </c>
      <c r="H23" s="44" t="n">
        <v>0.03</v>
      </c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18" t="n"/>
      <c r="S23" s="18" t="n"/>
      <c r="T23" s="18" t="n"/>
      <c r="U23" s="17" t="n"/>
      <c r="V23" s="17" t="n"/>
      <c r="W23" s="17" t="n"/>
      <c r="X23" s="44" t="n"/>
      <c r="Y23" s="44" t="n"/>
      <c r="Z23" s="44" t="n"/>
      <c r="AA23" s="17" t="n"/>
      <c r="AB23" s="17" t="n"/>
      <c r="AC23" s="17" t="n"/>
      <c r="AD23" s="18" t="n"/>
      <c r="AE23" s="18" t="n"/>
      <c r="AF23" s="44" t="n"/>
      <c r="AG23" s="18" t="n"/>
      <c r="AH23" s="18" t="n"/>
      <c r="AI23" s="44" t="n"/>
      <c r="AJ23" s="18" t="n"/>
      <c r="AK23" s="18" t="n"/>
      <c r="AL23" s="44" t="n"/>
      <c r="AM23" s="44" t="n">
        <v>0.03</v>
      </c>
      <c r="AN23" s="44" t="n">
        <v>0.04</v>
      </c>
      <c r="AO23" s="44" t="n">
        <v>0.03</v>
      </c>
    </row>
    <row r="24">
      <c r="B24" s="26" t="inlineStr">
        <is>
          <t>Dr. Fixit</t>
        </is>
      </c>
      <c r="C24" s="44" t="n">
        <v>0.01</v>
      </c>
      <c r="D24" s="44" t="n">
        <v>0.02</v>
      </c>
      <c r="E24" s="44" t="n">
        <v>0.01</v>
      </c>
      <c r="F24" s="44" t="n">
        <v>0.01</v>
      </c>
      <c r="G24" s="44" t="n">
        <v>0.01</v>
      </c>
      <c r="H24" s="44" t="n">
        <v>0</v>
      </c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8" t="n"/>
      <c r="S24" s="8" t="n"/>
      <c r="T24" s="8" t="n"/>
      <c r="U24" s="17" t="n"/>
      <c r="V24" s="17" t="n"/>
      <c r="W24" s="17" t="n"/>
      <c r="X24" s="44" t="n"/>
      <c r="Y24" s="44" t="n"/>
      <c r="Z24" s="44" t="n"/>
      <c r="AA24" s="17" t="n"/>
      <c r="AB24" s="17" t="n"/>
      <c r="AC24" s="17" t="n"/>
      <c r="AD24" s="18" t="n"/>
      <c r="AE24" s="18" t="n"/>
      <c r="AF24" s="44" t="n"/>
      <c r="AG24" s="18" t="n"/>
      <c r="AH24" s="18" t="n"/>
      <c r="AI24" s="44" t="n"/>
      <c r="AJ24" s="18" t="n"/>
      <c r="AK24" s="18" t="n"/>
      <c r="AL24" s="44" t="n"/>
      <c r="AM24" s="44" t="n">
        <v>0.01</v>
      </c>
      <c r="AN24" s="44" t="n">
        <v>0.01</v>
      </c>
      <c r="AO24" s="44" t="n">
        <v>0.01</v>
      </c>
    </row>
  </sheetData>
  <mergeCells count="26">
    <mergeCell ref="U2:W2"/>
    <mergeCell ref="AG2:AI2"/>
    <mergeCell ref="L14:N14"/>
    <mergeCell ref="F2:H2"/>
    <mergeCell ref="C2:E2"/>
    <mergeCell ref="X14:Z14"/>
    <mergeCell ref="AD2:AF2"/>
    <mergeCell ref="I14:K14"/>
    <mergeCell ref="O2:Q2"/>
    <mergeCell ref="O14:Q14"/>
    <mergeCell ref="U14:W14"/>
    <mergeCell ref="AA2:AC2"/>
    <mergeCell ref="F14:H14"/>
    <mergeCell ref="R2:T2"/>
    <mergeCell ref="AA14:AC14"/>
    <mergeCell ref="AG14:AI14"/>
    <mergeCell ref="R14:T14"/>
    <mergeCell ref="L2:N2"/>
    <mergeCell ref="AM2:AO2"/>
    <mergeCell ref="X2:Z2"/>
    <mergeCell ref="C14:E14"/>
    <mergeCell ref="AJ2:AL2"/>
    <mergeCell ref="I2:K2"/>
    <mergeCell ref="AM14:AO14"/>
    <mergeCell ref="AD14:AF14"/>
    <mergeCell ref="AJ14:AL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zoomScale="90" zoomScaleNormal="90" workbookViewId="0">
      <selection activeCell="D20" sqref="D20"/>
    </sheetView>
  </sheetViews>
  <sheetFormatPr baseColWidth="8" defaultColWidth="8.85546875" defaultRowHeight="12"/>
  <cols>
    <col width="1.7109375" customWidth="1" style="1" min="1" max="1"/>
    <col width="13.140625" bestFit="1" customWidth="1" style="1" min="2" max="2"/>
    <col width="5.7109375" bestFit="1" customWidth="1" style="1" min="3" max="4"/>
    <col hidden="1" width="5.7109375" customWidth="1" style="1" min="5" max="6"/>
    <col hidden="1" width="6.140625" customWidth="1" style="1" min="7" max="7"/>
    <col hidden="1" width="5.7109375" customWidth="1" style="1" min="8" max="8"/>
    <col hidden="1" width="7.140625" customWidth="1" style="1" min="9" max="9"/>
    <col hidden="1" width="8.85546875" customWidth="1" style="1" min="10" max="11"/>
    <col hidden="1" width="6.7109375" customWidth="1" style="1" min="12" max="12"/>
    <col hidden="1" width="7.5703125" customWidth="1" style="1" min="13" max="13"/>
    <col hidden="1" width="11.5703125" customWidth="1" style="1" min="14" max="14"/>
    <col width="8.5703125" bestFit="1" customWidth="1" style="1" min="15" max="15"/>
    <col width="13.42578125" bestFit="1" customWidth="1" style="1" min="16" max="16"/>
    <col width="12.5703125" bestFit="1" customWidth="1" style="82" min="17" max="17"/>
    <col width="8.85546875" customWidth="1" style="1" min="18" max="16384"/>
  </cols>
  <sheetData>
    <row r="1"/>
    <row r="2">
      <c r="B2" s="279" t="inlineStr">
        <is>
          <t>Brands</t>
        </is>
      </c>
      <c r="C2" s="24" t="inlineStr">
        <is>
          <t>April</t>
        </is>
      </c>
      <c r="D2" s="24" t="inlineStr">
        <is>
          <t>May</t>
        </is>
      </c>
      <c r="E2" s="24" t="inlineStr">
        <is>
          <t>June</t>
        </is>
      </c>
      <c r="F2" s="24" t="inlineStr">
        <is>
          <t>July</t>
        </is>
      </c>
      <c r="G2" s="24" t="inlineStr">
        <is>
          <t>August</t>
        </is>
      </c>
      <c r="H2" s="24" t="inlineStr">
        <is>
          <t>Sep</t>
        </is>
      </c>
      <c r="I2" s="24" t="inlineStr">
        <is>
          <t>October</t>
        </is>
      </c>
      <c r="J2" s="24" t="inlineStr">
        <is>
          <t>November</t>
        </is>
      </c>
      <c r="K2" s="24" t="inlineStr">
        <is>
          <t>December</t>
        </is>
      </c>
      <c r="L2" s="24" t="inlineStr">
        <is>
          <t>January</t>
        </is>
      </c>
      <c r="M2" s="24" t="inlineStr">
        <is>
          <t>February</t>
        </is>
      </c>
      <c r="N2" s="24" t="inlineStr">
        <is>
          <t>March</t>
        </is>
      </c>
      <c r="O2" s="24" t="inlineStr">
        <is>
          <t>25-26 YTD</t>
        </is>
      </c>
      <c r="P2" s="25" t="inlineStr">
        <is>
          <t>Investment in CR</t>
        </is>
      </c>
    </row>
    <row r="3">
      <c r="B3" s="26" t="inlineStr">
        <is>
          <t>Asian Paints*</t>
        </is>
      </c>
      <c r="C3" s="280" t="n">
        <v>0.24</v>
      </c>
      <c r="D3" s="280" t="n">
        <v>0.23</v>
      </c>
      <c r="E3" s="280" t="n">
        <v>0.28</v>
      </c>
      <c r="F3" s="280" t="n">
        <v>0.51</v>
      </c>
      <c r="G3" s="17" t="n">
        <v>0.3</v>
      </c>
      <c r="H3" s="280" t="n">
        <v>0.41</v>
      </c>
      <c r="I3" s="280" t="n">
        <v>0.39</v>
      </c>
      <c r="J3" s="18" t="n">
        <v>0.38</v>
      </c>
      <c r="K3" s="17" t="n">
        <v>0.22</v>
      </c>
      <c r="L3" s="18" t="n">
        <v>0.36</v>
      </c>
      <c r="M3" s="18" t="n">
        <v>0.42</v>
      </c>
      <c r="N3" s="18" t="n">
        <v>0.41</v>
      </c>
      <c r="O3" s="17" t="n">
        <v>0.31</v>
      </c>
      <c r="P3" s="281">
        <f>Q3/10000000</f>
        <v/>
      </c>
      <c r="Q3" s="29" t="n">
        <v>1347312082.51</v>
      </c>
    </row>
    <row r="4">
      <c r="B4" s="26" t="inlineStr">
        <is>
          <t>Birla Opus</t>
        </is>
      </c>
      <c r="C4" s="280" t="n">
        <v>0.63</v>
      </c>
      <c r="D4" s="280" t="n">
        <v>0.4</v>
      </c>
      <c r="E4" s="280" t="n">
        <v>0.2</v>
      </c>
      <c r="F4" s="280" t="n">
        <v>0.22</v>
      </c>
      <c r="G4" s="17" t="n">
        <v>0.33</v>
      </c>
      <c r="H4" s="280" t="n">
        <v>0.14</v>
      </c>
      <c r="I4" s="280" t="n">
        <v>0.27</v>
      </c>
      <c r="J4" s="18" t="n">
        <v>0.37</v>
      </c>
      <c r="K4" s="17" t="n">
        <v>0.39</v>
      </c>
      <c r="L4" s="18" t="n">
        <v>0.31</v>
      </c>
      <c r="M4" s="18" t="n">
        <v>0.51</v>
      </c>
      <c r="N4" s="18" t="n">
        <v>0.51</v>
      </c>
      <c r="O4" s="17" t="n">
        <v>0.44</v>
      </c>
      <c r="P4" s="281">
        <f>Q4/10000000</f>
        <v/>
      </c>
      <c r="Q4" s="29" t="n">
        <v>1921607203.73</v>
      </c>
    </row>
    <row r="5">
      <c r="B5" s="26" t="inlineStr">
        <is>
          <t>Dulux</t>
        </is>
      </c>
      <c r="C5" s="280" t="n">
        <v>0.01</v>
      </c>
      <c r="D5" s="280" t="n">
        <v>0.12</v>
      </c>
      <c r="E5" s="280" t="n">
        <v>0.08</v>
      </c>
      <c r="F5" s="280" t="n">
        <v>0.01</v>
      </c>
      <c r="G5" s="17" t="n">
        <v>0.02</v>
      </c>
      <c r="H5" s="280" t="n">
        <v>0.06</v>
      </c>
      <c r="I5" s="280" t="n">
        <v>0.01</v>
      </c>
      <c r="J5" s="18" t="n">
        <v>0.01</v>
      </c>
      <c r="K5" s="17" t="n">
        <v>0.01</v>
      </c>
      <c r="L5" s="18" t="n">
        <v>0.01</v>
      </c>
      <c r="M5" s="18" t="n">
        <v>0.01</v>
      </c>
      <c r="N5" s="18" t="n">
        <v>0.01</v>
      </c>
      <c r="O5" s="17" t="n">
        <v>0.03</v>
      </c>
      <c r="P5" s="281">
        <f>Q5/10000000</f>
        <v/>
      </c>
      <c r="Q5" s="29" t="n">
        <v>143289909.01</v>
      </c>
    </row>
    <row r="6">
      <c r="B6" s="26" t="inlineStr">
        <is>
          <t>Nerolac</t>
        </is>
      </c>
      <c r="C6" s="280" t="n">
        <v>0.01</v>
      </c>
      <c r="D6" s="280" t="n">
        <v>0.03</v>
      </c>
      <c r="E6" s="280" t="n">
        <v>0.02</v>
      </c>
      <c r="F6" s="280" t="n">
        <v>0.01</v>
      </c>
      <c r="G6" s="17" t="n">
        <v>0.02</v>
      </c>
      <c r="H6" s="280" t="n">
        <v>0.09</v>
      </c>
      <c r="I6" s="280" t="n">
        <v>0.03</v>
      </c>
      <c r="J6" s="18" t="n">
        <v>0</v>
      </c>
      <c r="K6" s="17" t="n">
        <v>0</v>
      </c>
      <c r="L6" s="18" t="n">
        <v>0.01</v>
      </c>
      <c r="M6" s="18" t="n">
        <v>0.01</v>
      </c>
      <c r="N6" s="18" t="n">
        <v>0.01</v>
      </c>
      <c r="O6" s="17" t="n">
        <v>0.02</v>
      </c>
      <c r="P6" s="281">
        <f>Q6/10000000</f>
        <v/>
      </c>
      <c r="Q6" s="29" t="n">
        <v>81563410.2</v>
      </c>
    </row>
    <row r="7">
      <c r="B7" s="26" t="inlineStr">
        <is>
          <t>Berger</t>
        </is>
      </c>
      <c r="C7" s="280" t="n">
        <v>0.03</v>
      </c>
      <c r="D7" s="280" t="n">
        <v>0.06</v>
      </c>
      <c r="E7" s="280" t="n">
        <v>0.14</v>
      </c>
      <c r="F7" s="280" t="n">
        <v>0.16</v>
      </c>
      <c r="G7" s="17" t="n">
        <v>0.26</v>
      </c>
      <c r="H7" s="280" t="n">
        <v>0.11</v>
      </c>
      <c r="I7" s="280" t="n">
        <v>0.09</v>
      </c>
      <c r="J7" s="18" t="n">
        <v>0.07000000000000001</v>
      </c>
      <c r="K7" s="17" t="n">
        <v>0.2</v>
      </c>
      <c r="L7" s="18" t="n">
        <v>0.16</v>
      </c>
      <c r="M7" s="18" t="n">
        <v>0.06</v>
      </c>
      <c r="N7" s="18" t="n">
        <v>0.06</v>
      </c>
      <c r="O7" s="17" t="n">
        <v>0.09</v>
      </c>
      <c r="P7" s="281">
        <f>Q7/10000000</f>
        <v/>
      </c>
      <c r="Q7" s="29" t="n">
        <v>468622630.24</v>
      </c>
    </row>
    <row r="8">
      <c r="B8" s="26" t="inlineStr">
        <is>
          <t>Indigo</t>
        </is>
      </c>
      <c r="C8" s="280" t="n">
        <v>0.04</v>
      </c>
      <c r="D8" s="280" t="n">
        <v>0.05</v>
      </c>
      <c r="E8" s="280" t="n">
        <v>0.06</v>
      </c>
      <c r="F8" s="280" t="n">
        <v>0.01</v>
      </c>
      <c r="G8" s="17" t="n">
        <v>0.01</v>
      </c>
      <c r="H8" s="280" t="n">
        <v>0.03</v>
      </c>
      <c r="I8" s="280" t="n">
        <v>0.02</v>
      </c>
      <c r="J8" s="18" t="n">
        <v>0.03</v>
      </c>
      <c r="K8" s="17" t="n">
        <v>0.02</v>
      </c>
      <c r="L8" s="18" t="n">
        <v>0.05</v>
      </c>
      <c r="M8" s="18" t="n">
        <v>0.02</v>
      </c>
      <c r="N8" s="18" t="n">
        <v>0.01</v>
      </c>
      <c r="O8" s="17" t="n">
        <v>0.03</v>
      </c>
      <c r="P8" s="281">
        <f>Q8/10000000</f>
        <v/>
      </c>
      <c r="Q8" s="29" t="n">
        <v>128884970.44</v>
      </c>
    </row>
    <row r="9">
      <c r="B9" s="26" t="inlineStr">
        <is>
          <t>Nippon</t>
        </is>
      </c>
      <c r="C9" s="280" t="n">
        <v>0</v>
      </c>
      <c r="D9" s="280" t="n">
        <v>0</v>
      </c>
      <c r="E9" s="280" t="n">
        <v>0.02</v>
      </c>
      <c r="F9" s="280" t="n">
        <v>0.01</v>
      </c>
      <c r="G9" s="17" t="n">
        <v>0</v>
      </c>
      <c r="H9" s="280" t="n">
        <v>0</v>
      </c>
      <c r="I9" s="280" t="n">
        <v>0.01</v>
      </c>
      <c r="J9" s="18" t="n">
        <v>0.02</v>
      </c>
      <c r="K9" s="17" t="n">
        <v>0.01</v>
      </c>
      <c r="L9" s="18" t="n">
        <v>0.01</v>
      </c>
      <c r="M9" s="18" t="n">
        <v>0.01</v>
      </c>
      <c r="N9" s="18" t="n">
        <v>0</v>
      </c>
      <c r="O9" s="17" t="n">
        <v>0.01</v>
      </c>
      <c r="P9" s="281">
        <f>Q9/10000000</f>
        <v/>
      </c>
      <c r="Q9" s="29" t="n">
        <v>24817116.18</v>
      </c>
    </row>
    <row r="10">
      <c r="B10" s="26" t="inlineStr">
        <is>
          <t>JSW Paints</t>
        </is>
      </c>
      <c r="C10" s="280" t="n">
        <v>0.04</v>
      </c>
      <c r="D10" s="280" t="n">
        <v>0.05</v>
      </c>
      <c r="E10" s="280" t="n">
        <v>0.1</v>
      </c>
      <c r="F10" s="280" t="n">
        <v>0.01</v>
      </c>
      <c r="G10" s="17" t="n">
        <v>0.03</v>
      </c>
      <c r="H10" s="280" t="n">
        <v>0.03</v>
      </c>
      <c r="I10" s="280" t="n">
        <v>0.03</v>
      </c>
      <c r="J10" s="18" t="n">
        <v>0.01</v>
      </c>
      <c r="K10" s="17" t="n">
        <v>0</v>
      </c>
      <c r="L10" s="18" t="n">
        <v>0.01</v>
      </c>
      <c r="M10" s="18" t="n">
        <v>0</v>
      </c>
      <c r="N10" s="18" t="n">
        <v>0</v>
      </c>
      <c r="O10" s="17" t="n">
        <v>0.03</v>
      </c>
      <c r="P10" s="281">
        <f>Q10/10000000</f>
        <v/>
      </c>
      <c r="Q10" s="29" t="n">
        <v>131243540.22</v>
      </c>
    </row>
    <row r="11">
      <c r="B11" s="26" t="inlineStr">
        <is>
          <t>Dr. Fixit</t>
        </is>
      </c>
      <c r="C11" s="280" t="n">
        <v>0.03</v>
      </c>
      <c r="D11" s="280" t="n">
        <v>0.03</v>
      </c>
      <c r="E11" s="280" t="n">
        <v>0.03</v>
      </c>
      <c r="F11" s="280" t="n">
        <v>0.01</v>
      </c>
      <c r="G11" s="17" t="n">
        <v>0.04</v>
      </c>
      <c r="H11" s="280" t="n">
        <v>0.06</v>
      </c>
      <c r="I11" s="280" t="n">
        <v>0.09</v>
      </c>
      <c r="J11" s="18" t="n">
        <v>0.07000000000000001</v>
      </c>
      <c r="K11" s="17" t="n">
        <v>0.06</v>
      </c>
      <c r="L11" s="18" t="n">
        <v>0.02</v>
      </c>
      <c r="M11" s="18" t="n">
        <v>0.01</v>
      </c>
      <c r="N11" s="18" t="n">
        <v>0.01</v>
      </c>
      <c r="O11" s="17" t="n">
        <v>0.04</v>
      </c>
      <c r="P11" s="281">
        <f>Q11/10000000</f>
        <v/>
      </c>
      <c r="Q11" s="29" t="n">
        <v>158975221.12</v>
      </c>
    </row>
    <row r="12">
      <c r="B12" s="30" t="inlineStr">
        <is>
          <t>Investment in Cr</t>
        </is>
      </c>
      <c r="C12" s="282" t="n">
        <v>88.28</v>
      </c>
      <c r="D12" s="282" t="n">
        <v>50.14</v>
      </c>
      <c r="E12" s="282" t="n">
        <v>23.12</v>
      </c>
      <c r="F12" s="282" t="n">
        <v>21.21</v>
      </c>
      <c r="G12" s="283" t="n">
        <v>30.45</v>
      </c>
      <c r="H12" s="33" t="n">
        <v>42.23</v>
      </c>
      <c r="I12" s="33" t="n">
        <v>28.15</v>
      </c>
      <c r="J12" s="33" t="n">
        <v>29.15</v>
      </c>
      <c r="K12" s="33" t="n">
        <v>48.54</v>
      </c>
      <c r="L12" s="33" t="n">
        <v>24.71</v>
      </c>
      <c r="M12" s="33" t="n">
        <v>35.02</v>
      </c>
      <c r="N12" s="33" t="n">
        <v>41.05</v>
      </c>
      <c r="O12" s="34" t="n"/>
      <c r="P12" s="284">
        <f>SUM(P3:P11)</f>
        <v/>
      </c>
    </row>
    <row r="13">
      <c r="L13" s="38" t="n"/>
    </row>
    <row r="14" hidden="1">
      <c r="B14" s="26" t="inlineStr">
        <is>
          <t>AP Branding</t>
        </is>
      </c>
      <c r="C14" s="285">
        <f>C16-C15</f>
        <v/>
      </c>
      <c r="D14" s="285">
        <f>D16-D15</f>
        <v/>
      </c>
      <c r="E14" s="285">
        <f>E16-E15</f>
        <v/>
      </c>
      <c r="F14" s="285">
        <f>F16-F15</f>
        <v/>
      </c>
      <c r="G14" s="285">
        <f>G16-G15</f>
        <v/>
      </c>
      <c r="H14" s="285">
        <f>H16-H15</f>
        <v/>
      </c>
      <c r="I14" s="285">
        <f>I16-I15</f>
        <v/>
      </c>
      <c r="J14" s="285">
        <f>J16-J15</f>
        <v/>
      </c>
      <c r="K14" s="285">
        <f>K16-K15</f>
        <v/>
      </c>
      <c r="L14" s="285" t="n"/>
      <c r="M14" s="285" t="n"/>
      <c r="N14" s="285" t="n"/>
      <c r="O14" s="285" t="n"/>
      <c r="P14" s="285">
        <f>P16-P15</f>
        <v/>
      </c>
    </row>
    <row r="15" hidden="1">
      <c r="B15" s="26" t="inlineStr">
        <is>
          <t>AP Performance</t>
        </is>
      </c>
      <c r="C15" s="285" t="n">
        <v>3.82</v>
      </c>
      <c r="D15" s="285" t="n">
        <v>4.03</v>
      </c>
      <c r="E15" s="285" t="n">
        <v>5.79</v>
      </c>
      <c r="F15" s="285" t="n">
        <v>5.93</v>
      </c>
      <c r="G15" s="285" t="n">
        <v>6.13</v>
      </c>
      <c r="H15" s="285" t="n">
        <v>4.86</v>
      </c>
      <c r="I15" s="285" t="n">
        <v>5.3</v>
      </c>
      <c r="J15" s="285" t="n">
        <v>5.43</v>
      </c>
      <c r="K15" s="285" t="n">
        <v>5.43</v>
      </c>
      <c r="L15" s="285" t="n"/>
      <c r="M15" s="285" t="n"/>
      <c r="N15" s="285" t="n"/>
      <c r="O15" s="285" t="n"/>
      <c r="P15" s="285">
        <f>SUM(C15:K15)</f>
        <v/>
      </c>
    </row>
    <row r="16" hidden="1">
      <c r="B16" s="26" t="inlineStr">
        <is>
          <t>Total</t>
        </is>
      </c>
      <c r="C16" s="37" t="n">
        <v>16.74</v>
      </c>
      <c r="D16" s="37" t="n">
        <v>13</v>
      </c>
      <c r="E16" s="37" t="n">
        <v>8.35</v>
      </c>
      <c r="F16" s="37" t="n">
        <v>11.5</v>
      </c>
      <c r="G16" s="37" t="n">
        <v>7.59</v>
      </c>
      <c r="H16" s="37" t="n">
        <v>18.14</v>
      </c>
      <c r="I16" s="37" t="n">
        <v>13.87</v>
      </c>
      <c r="J16" s="37" t="n">
        <v>11.73</v>
      </c>
      <c r="K16" s="37" t="n">
        <v>10.16</v>
      </c>
      <c r="L16" s="37" t="n"/>
      <c r="M16" s="37" t="n"/>
      <c r="N16" s="37" t="n"/>
      <c r="O16" s="37" t="n"/>
      <c r="P16" s="37" t="n">
        <v>109.12</v>
      </c>
    </row>
    <row r="17" hidden="1">
      <c r="B17" s="1" t="inlineStr">
        <is>
          <t>Branding %</t>
        </is>
      </c>
      <c r="C17" s="20">
        <f>C14/C16</f>
        <v/>
      </c>
      <c r="D17" s="20">
        <f>D14/D16</f>
        <v/>
      </c>
      <c r="E17" s="20">
        <f>E14/E16</f>
        <v/>
      </c>
      <c r="F17" s="20">
        <f>F14/F16</f>
        <v/>
      </c>
      <c r="G17" s="20">
        <f>G14/G16</f>
        <v/>
      </c>
      <c r="H17" s="20">
        <f>H14/H16</f>
        <v/>
      </c>
      <c r="I17" s="20">
        <f>I14/I16</f>
        <v/>
      </c>
      <c r="J17" s="20">
        <f>J14/J16</f>
        <v/>
      </c>
      <c r="K17" s="20">
        <f>K14/K16</f>
        <v/>
      </c>
      <c r="P17" s="20">
        <f>P14/P16</f>
        <v/>
      </c>
    </row>
    <row r="18"/>
    <row r="19">
      <c r="B19" s="279" t="inlineStr">
        <is>
          <t>Brands</t>
        </is>
      </c>
      <c r="C19" s="24" t="inlineStr">
        <is>
          <t>April</t>
        </is>
      </c>
      <c r="D19" s="24" t="inlineStr">
        <is>
          <t>May</t>
        </is>
      </c>
      <c r="E19" s="24" t="inlineStr">
        <is>
          <t>June</t>
        </is>
      </c>
      <c r="F19" s="24" t="inlineStr">
        <is>
          <t>July</t>
        </is>
      </c>
      <c r="G19" s="24" t="inlineStr">
        <is>
          <t>August</t>
        </is>
      </c>
      <c r="H19" s="24" t="inlineStr">
        <is>
          <t>Sep</t>
        </is>
      </c>
      <c r="I19" s="24" t="inlineStr">
        <is>
          <t>October</t>
        </is>
      </c>
      <c r="J19" s="24" t="inlineStr">
        <is>
          <t>November</t>
        </is>
      </c>
      <c r="K19" s="24" t="inlineStr">
        <is>
          <t>December</t>
        </is>
      </c>
      <c r="L19" s="24" t="inlineStr">
        <is>
          <t>January</t>
        </is>
      </c>
      <c r="M19" s="24" t="inlineStr">
        <is>
          <t>February</t>
        </is>
      </c>
      <c r="N19" s="24" t="inlineStr">
        <is>
          <t>March</t>
        </is>
      </c>
      <c r="O19" s="24" t="inlineStr">
        <is>
          <t>26-27 YTD</t>
        </is>
      </c>
      <c r="P19" s="25" t="inlineStr">
        <is>
          <t>Investment in CR</t>
        </is>
      </c>
    </row>
    <row r="20">
      <c r="B20" s="26" t="inlineStr">
        <is>
          <t>Asian Paints*</t>
        </is>
      </c>
      <c r="C20" s="280" t="n">
        <v>0.42</v>
      </c>
      <c r="D20" s="280" t="n">
        <v>0.34</v>
      </c>
      <c r="E20" s="280" t="n"/>
      <c r="F20" s="280" t="n"/>
      <c r="G20" s="17" t="n"/>
      <c r="H20" s="280" t="n"/>
      <c r="I20" s="280" t="n"/>
      <c r="J20" s="18" t="n"/>
      <c r="K20" s="17" t="n"/>
      <c r="L20" s="18" t="n"/>
      <c r="M20" s="18" t="n"/>
      <c r="N20" s="18" t="n"/>
      <c r="O20" s="280" t="n">
        <v>0.43</v>
      </c>
      <c r="P20" s="281">
        <f>Q20/10000000</f>
        <v/>
      </c>
      <c r="Q20" s="82" t="n">
        <v>462598713.36</v>
      </c>
    </row>
    <row r="21">
      <c r="B21" s="26" t="inlineStr">
        <is>
          <t>Birla Opus</t>
        </is>
      </c>
      <c r="C21" s="280" t="n">
        <v>0.61</v>
      </c>
      <c r="D21" s="280" t="n">
        <v>0.46</v>
      </c>
      <c r="E21" s="280" t="n"/>
      <c r="F21" s="280" t="n"/>
      <c r="G21" s="17" t="n"/>
      <c r="H21" s="280" t="n"/>
      <c r="I21" s="280" t="n"/>
      <c r="J21" s="18" t="n"/>
      <c r="K21" s="17" t="n"/>
      <c r="L21" s="18" t="n"/>
      <c r="M21" s="18" t="n"/>
      <c r="N21" s="18" t="n"/>
      <c r="O21" s="280" t="n">
        <v>0.57</v>
      </c>
      <c r="P21" s="281">
        <f>Q21/10000000</f>
        <v/>
      </c>
      <c r="Q21" s="82" t="n">
        <v>696861766</v>
      </c>
    </row>
    <row r="22">
      <c r="B22" s="26" t="inlineStr">
        <is>
          <t>Dulux</t>
        </is>
      </c>
      <c r="C22" s="280" t="n">
        <v>0.01</v>
      </c>
      <c r="D22" s="280" t="n">
        <v>0.01</v>
      </c>
      <c r="E22" s="280" t="n"/>
      <c r="F22" s="280" t="n"/>
      <c r="G22" s="17" t="n"/>
      <c r="H22" s="280" t="n"/>
      <c r="I22" s="280" t="n"/>
      <c r="J22" s="18" t="n"/>
      <c r="K22" s="17" t="n"/>
      <c r="L22" s="18" t="n"/>
      <c r="M22" s="18" t="n"/>
      <c r="N22" s="18" t="n"/>
      <c r="O22" s="280" t="n">
        <v>0.01</v>
      </c>
      <c r="P22" s="281">
        <f>Q22/10000000</f>
        <v/>
      </c>
      <c r="Q22" s="82" t="n">
        <v>7228711.32</v>
      </c>
    </row>
    <row r="23">
      <c r="B23" s="26" t="inlineStr">
        <is>
          <t>Nerolac</t>
        </is>
      </c>
      <c r="C23" s="280" t="n">
        <v>0</v>
      </c>
      <c r="D23" s="280" t="n">
        <v>0</v>
      </c>
      <c r="E23" s="280" t="n"/>
      <c r="F23" s="280" t="n"/>
      <c r="G23" s="17" t="n"/>
      <c r="H23" s="280" t="n"/>
      <c r="I23" s="280" t="n"/>
      <c r="J23" s="18" t="n"/>
      <c r="K23" s="17" t="n"/>
      <c r="L23" s="18" t="n"/>
      <c r="M23" s="18" t="n"/>
      <c r="N23" s="18" t="n"/>
      <c r="O23" s="280" t="n">
        <v>0</v>
      </c>
      <c r="P23" s="281">
        <f>Q23/10000000</f>
        <v/>
      </c>
      <c r="Q23" s="82" t="n">
        <v>5244488.25</v>
      </c>
    </row>
    <row r="24">
      <c r="B24" s="26" t="inlineStr">
        <is>
          <t>Berger</t>
        </is>
      </c>
      <c r="C24" s="280" t="n">
        <v>0.03</v>
      </c>
      <c r="D24" s="280" t="n">
        <v>0.02</v>
      </c>
      <c r="E24" s="280" t="n"/>
      <c r="F24" s="280" t="n"/>
      <c r="G24" s="17" t="n"/>
      <c r="H24" s="280" t="n"/>
      <c r="I24" s="280" t="n"/>
      <c r="J24" s="18" t="n"/>
      <c r="K24" s="17" t="n"/>
      <c r="L24" s="18" t="n"/>
      <c r="M24" s="18" t="n"/>
      <c r="N24" s="18" t="n"/>
      <c r="O24" s="280" t="n">
        <v>0.03</v>
      </c>
      <c r="P24" s="281">
        <f>Q24/10000000</f>
        <v/>
      </c>
      <c r="Q24" s="82" t="n">
        <v>34367664.5</v>
      </c>
    </row>
    <row r="25">
      <c r="B25" s="26" t="inlineStr">
        <is>
          <t>Indigo</t>
        </is>
      </c>
      <c r="C25" s="280" t="n">
        <v>0.01</v>
      </c>
      <c r="D25" s="280" t="n">
        <v>0</v>
      </c>
      <c r="E25" s="280" t="n"/>
      <c r="F25" s="280" t="n"/>
      <c r="G25" s="17" t="n"/>
      <c r="H25" s="280" t="n"/>
      <c r="I25" s="280" t="n"/>
      <c r="J25" s="18" t="n"/>
      <c r="K25" s="17" t="n"/>
      <c r="L25" s="18" t="n"/>
      <c r="M25" s="18" t="n"/>
      <c r="N25" s="18" t="n"/>
      <c r="O25" s="280" t="n">
        <v>0</v>
      </c>
      <c r="P25" s="281">
        <f>Q25/10000000</f>
        <v/>
      </c>
      <c r="Q25" s="82" t="n">
        <v>5307401.37</v>
      </c>
    </row>
    <row r="26">
      <c r="B26" s="26" t="inlineStr">
        <is>
          <t>Nippon</t>
        </is>
      </c>
      <c r="C26" s="280" t="n">
        <v>0</v>
      </c>
      <c r="D26" s="280" t="n">
        <v>0</v>
      </c>
      <c r="E26" s="280" t="n"/>
      <c r="F26" s="280" t="n"/>
      <c r="G26" s="17" t="n"/>
      <c r="H26" s="280" t="n"/>
      <c r="I26" s="280" t="n"/>
      <c r="J26" s="18" t="n"/>
      <c r="K26" s="17" t="n"/>
      <c r="L26" s="18" t="n"/>
      <c r="M26" s="18" t="n"/>
      <c r="N26" s="18" t="n"/>
      <c r="O26" s="280" t="n">
        <v>0</v>
      </c>
      <c r="P26" s="281">
        <f>Q26/10000000</f>
        <v/>
      </c>
      <c r="Q26" s="82" t="n">
        <v>4091524.27</v>
      </c>
    </row>
    <row r="27">
      <c r="B27" s="26" t="inlineStr">
        <is>
          <t>JSW Paints</t>
        </is>
      </c>
      <c r="C27" s="280" t="n">
        <v>0</v>
      </c>
      <c r="D27" s="280" t="n">
        <v>0.06</v>
      </c>
      <c r="E27" s="280" t="n"/>
      <c r="F27" s="280" t="n"/>
      <c r="G27" s="17" t="n"/>
      <c r="H27" s="280" t="n"/>
      <c r="I27" s="280" t="n"/>
      <c r="J27" s="18" t="n"/>
      <c r="K27" s="17" t="n"/>
      <c r="L27" s="18" t="n"/>
      <c r="M27" s="18" t="n"/>
      <c r="N27" s="18" t="n"/>
      <c r="O27" s="280" t="n">
        <v>0.04</v>
      </c>
      <c r="P27" s="281">
        <f>Q27/10000000</f>
        <v/>
      </c>
      <c r="Q27" s="82" t="n">
        <v>36256950.37</v>
      </c>
    </row>
    <row r="28">
      <c r="B28" s="26" t="inlineStr">
        <is>
          <t>Dr. Fixit</t>
        </is>
      </c>
      <c r="C28" s="280" t="n">
        <v>0</v>
      </c>
      <c r="D28" s="280" t="n">
        <v>0</v>
      </c>
      <c r="E28" s="280" t="n"/>
      <c r="F28" s="280" t="n"/>
      <c r="G28" s="17" t="n"/>
      <c r="H28" s="280" t="n"/>
      <c r="I28" s="280" t="n"/>
      <c r="J28" s="18" t="n"/>
      <c r="K28" s="17" t="n"/>
      <c r="L28" s="18" t="n"/>
      <c r="M28" s="18" t="n"/>
      <c r="N28" s="18" t="n"/>
      <c r="O28" s="280" t="n">
        <v>0</v>
      </c>
      <c r="P28" s="281">
        <f>Q28/10000000</f>
        <v/>
      </c>
      <c r="Q28" s="82" t="n">
        <v>2142074.99</v>
      </c>
    </row>
    <row r="29">
      <c r="B29" s="30" t="inlineStr">
        <is>
          <t>Investment in Cr</t>
        </is>
      </c>
      <c r="C29" s="282" t="n">
        <v>54.18</v>
      </c>
      <c r="D29" s="282" t="n">
        <v>65.31999999999999</v>
      </c>
      <c r="E29" s="282" t="n"/>
      <c r="F29" s="282" t="n"/>
      <c r="G29" s="283" t="n"/>
      <c r="H29" s="33" t="n"/>
      <c r="I29" s="33" t="n"/>
      <c r="J29" s="33" t="n"/>
      <c r="K29" s="33" t="n"/>
      <c r="L29" s="33" t="n"/>
      <c r="M29" s="33" t="n"/>
      <c r="N29" s="34" t="n"/>
      <c r="O29" s="282" t="n"/>
      <c r="P29" s="284">
        <f>SUM(P20:P28)</f>
        <v/>
      </c>
    </row>
    <row r="30">
      <c r="C30" s="286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3"/>
  <sheetViews>
    <sheetView showGridLines="0" zoomScale="71" zoomScaleNormal="90" workbookViewId="0">
      <pane ySplit="3" topLeftCell="A12" activePane="bottomLeft" state="frozen"/>
      <selection pane="bottomLeft" activeCell="K19" sqref="K19"/>
    </sheetView>
  </sheetViews>
  <sheetFormatPr baseColWidth="8" defaultColWidth="8.7109375" defaultRowHeight="12"/>
  <cols>
    <col width="3.5703125" customWidth="1" style="1" min="1" max="1"/>
    <col width="36.28515625" customWidth="1" style="1" min="2" max="2"/>
    <col width="32" bestFit="1" customWidth="1" style="1" min="3" max="3"/>
    <col width="11.140625" bestFit="1" customWidth="1" style="1" min="4" max="4"/>
    <col width="13.7109375" bestFit="1" customWidth="1" style="1" min="5" max="5"/>
    <col width="11.140625" bestFit="1" customWidth="1" style="1" min="6" max="6"/>
    <col width="11.7109375" bestFit="1" customWidth="1" style="1" min="7" max="7"/>
    <col width="11.85546875" bestFit="1" customWidth="1" style="1" min="8" max="8"/>
    <col width="13.42578125" bestFit="1" customWidth="1" style="1" min="9" max="9"/>
    <col width="13.5703125" bestFit="1" customWidth="1" style="1" min="10" max="10"/>
    <col width="21.7109375" bestFit="1" customWidth="1" style="1" min="11" max="11"/>
    <col width="10.140625" bestFit="1" customWidth="1" style="1" min="12" max="12"/>
    <col width="12.85546875" bestFit="1" customWidth="1" style="1" min="13" max="13"/>
    <col width="10.140625" customWidth="1" style="1" min="14" max="15"/>
    <col width="10" customWidth="1" style="1" min="16" max="16"/>
    <col width="8.7109375" customWidth="1" style="1" min="17" max="16384"/>
  </cols>
  <sheetData>
    <row r="1" ht="17.45" customHeight="1"/>
    <row r="2">
      <c r="B2" s="187" t="inlineStr">
        <is>
          <t>Monthwise Visits</t>
        </is>
      </c>
    </row>
    <row r="3">
      <c r="B3" s="187" t="inlineStr">
        <is>
          <t>Date</t>
        </is>
      </c>
      <c r="C3" s="187" t="inlineStr">
        <is>
          <t>Monthly Visits</t>
        </is>
      </c>
      <c r="D3" s="187" t="inlineStr">
        <is>
          <t>Unique Visitors</t>
        </is>
      </c>
      <c r="E3" s="187" t="inlineStr">
        <is>
          <t>Avg. Visit Duration</t>
        </is>
      </c>
      <c r="F3" s="187" t="inlineStr">
        <is>
          <t>Bounce Rate</t>
        </is>
      </c>
      <c r="G3" s="187" t="inlineStr">
        <is>
          <t>Compared to LY</t>
        </is>
      </c>
    </row>
    <row r="4">
      <c r="B4" s="3" t="n">
        <v>45383</v>
      </c>
      <c r="C4" s="4" t="n">
        <v>2643440.16</v>
      </c>
      <c r="D4" s="4" t="n">
        <v>1878158.83</v>
      </c>
      <c r="E4" s="5" t="inlineStr">
        <is>
          <t>00:02:51</t>
        </is>
      </c>
      <c r="F4" s="287" t="n">
        <v>0.44</v>
      </c>
      <c r="G4" s="287" t="n"/>
    </row>
    <row r="5">
      <c r="B5" s="3" t="n">
        <v>45413</v>
      </c>
      <c r="C5" s="4" t="n">
        <v>2936060.55</v>
      </c>
      <c r="D5" s="4" t="n">
        <v>1550219.54</v>
      </c>
      <c r="E5" s="5" t="inlineStr">
        <is>
          <t>00:02:53</t>
        </is>
      </c>
      <c r="F5" s="287" t="n">
        <v>0.46</v>
      </c>
      <c r="G5" s="287" t="n"/>
    </row>
    <row r="6">
      <c r="B6" s="3" t="n">
        <v>45444</v>
      </c>
      <c r="C6" s="4" t="n">
        <v>3256983.59</v>
      </c>
      <c r="D6" s="4" t="n">
        <v>1872507.55</v>
      </c>
      <c r="E6" s="5" t="inlineStr">
        <is>
          <t>00:02:25</t>
        </is>
      </c>
      <c r="F6" s="287" t="n">
        <v>0.49</v>
      </c>
      <c r="G6" s="287" t="n"/>
    </row>
    <row r="7">
      <c r="B7" s="3" t="n">
        <v>45474</v>
      </c>
      <c r="C7" s="4" t="n">
        <v>2817062.64</v>
      </c>
      <c r="D7" s="4" t="n">
        <v>1705089.55</v>
      </c>
      <c r="E7" s="5" t="inlineStr">
        <is>
          <t>00:02:29</t>
        </is>
      </c>
      <c r="F7" s="287" t="n">
        <v>0.43</v>
      </c>
      <c r="G7" s="287" t="n"/>
    </row>
    <row r="8">
      <c r="B8" s="3" t="n">
        <v>45505</v>
      </c>
      <c r="C8" s="4" t="n">
        <v>3879481.26</v>
      </c>
      <c r="D8" s="4" t="n">
        <v>1967627.31</v>
      </c>
      <c r="E8" s="5" t="inlineStr">
        <is>
          <t>00:02:35</t>
        </is>
      </c>
      <c r="F8" s="287" t="n">
        <v>0.39</v>
      </c>
      <c r="G8" s="287" t="n"/>
    </row>
    <row r="9">
      <c r="B9" s="3" t="n">
        <v>45536</v>
      </c>
      <c r="C9" s="4" t="n">
        <v>3585303.94</v>
      </c>
      <c r="D9" s="4" t="n">
        <v>2113950.62</v>
      </c>
      <c r="E9" s="5" t="inlineStr">
        <is>
          <t>00:02:05</t>
        </is>
      </c>
      <c r="F9" s="287" t="n">
        <v>0.4</v>
      </c>
      <c r="G9" s="287" t="n"/>
    </row>
    <row r="10">
      <c r="B10" s="3" t="n">
        <v>45566</v>
      </c>
      <c r="C10" s="4" t="n">
        <v>4097248.41</v>
      </c>
      <c r="D10" s="4" t="n">
        <v>2793816.75</v>
      </c>
      <c r="E10" s="5" t="inlineStr">
        <is>
          <t>00:02:07</t>
        </is>
      </c>
      <c r="F10" s="287" t="n">
        <v>0.42</v>
      </c>
      <c r="G10" s="287" t="n"/>
    </row>
    <row r="11">
      <c r="B11" s="3" t="n">
        <v>45597</v>
      </c>
      <c r="C11" s="4" t="n">
        <v>3024071.25</v>
      </c>
      <c r="D11" s="4" t="n">
        <v>2339192.06</v>
      </c>
      <c r="E11" s="5" t="inlineStr">
        <is>
          <t>00:02:11</t>
        </is>
      </c>
      <c r="F11" s="287" t="n">
        <v>0.41</v>
      </c>
      <c r="G11" s="287" t="n"/>
    </row>
    <row r="12">
      <c r="B12" s="3" t="n">
        <v>45627</v>
      </c>
      <c r="C12" s="4" t="n">
        <v>4305428</v>
      </c>
      <c r="D12" s="4" t="n">
        <v>2333258.61</v>
      </c>
      <c r="E12" s="5" t="inlineStr">
        <is>
          <t>00:02:06</t>
        </is>
      </c>
      <c r="F12" s="287" t="n">
        <v>0.43</v>
      </c>
      <c r="G12" s="287" t="n"/>
    </row>
    <row r="13">
      <c r="B13" s="3" t="n">
        <v>45658</v>
      </c>
      <c r="C13" s="4" t="n">
        <v>4225231.32</v>
      </c>
      <c r="D13" s="4" t="n">
        <v>2362830.78</v>
      </c>
      <c r="E13" s="5" t="inlineStr">
        <is>
          <t>00:02:07</t>
        </is>
      </c>
      <c r="F13" s="287" t="n">
        <v>0.49</v>
      </c>
      <c r="G13" s="287" t="n"/>
    </row>
    <row r="14">
      <c r="B14" s="3" t="n">
        <v>45689</v>
      </c>
      <c r="C14" s="4" t="n">
        <v>3313864.01</v>
      </c>
      <c r="D14" s="4" t="n">
        <v>1843433.26</v>
      </c>
      <c r="E14" s="5" t="inlineStr">
        <is>
          <t>00:02:10</t>
        </is>
      </c>
      <c r="F14" s="287" t="n">
        <v>0.44</v>
      </c>
      <c r="G14" s="287" t="n"/>
    </row>
    <row r="15">
      <c r="B15" s="3" t="n">
        <v>45717</v>
      </c>
      <c r="C15" s="4" t="n">
        <v>3808566.54</v>
      </c>
      <c r="D15" s="4" t="n">
        <v>2334137.33</v>
      </c>
      <c r="E15" s="5" t="inlineStr">
        <is>
          <t>00:02:21</t>
        </is>
      </c>
      <c r="F15" s="287" t="n">
        <v>0.45</v>
      </c>
      <c r="G15" s="287" t="n"/>
    </row>
    <row r="16">
      <c r="B16" s="3" t="n">
        <v>45748</v>
      </c>
      <c r="C16" s="4" t="n">
        <v>3622516.65</v>
      </c>
      <c r="D16" s="4" t="n">
        <v>2138900.2</v>
      </c>
      <c r="E16" s="5" t="inlineStr">
        <is>
          <t>00:02:07</t>
        </is>
      </c>
      <c r="F16" s="287" t="n">
        <v>0.46</v>
      </c>
      <c r="G16" s="287" t="n">
        <v>0.23</v>
      </c>
    </row>
    <row r="17">
      <c r="B17" s="3" t="n">
        <v>45778</v>
      </c>
      <c r="C17" s="4" t="n">
        <v>3922025.58</v>
      </c>
      <c r="D17" s="4" t="n">
        <v>1708043.99</v>
      </c>
      <c r="E17" s="5" t="inlineStr">
        <is>
          <t>00:02:19</t>
        </is>
      </c>
      <c r="F17" s="287" t="n">
        <v>0.42</v>
      </c>
      <c r="G17" s="287" t="n">
        <v>0.07000000000000001</v>
      </c>
    </row>
    <row r="18">
      <c r="B18" s="3" t="n">
        <v>45809</v>
      </c>
      <c r="C18" s="4" t="n">
        <v>2852015.94</v>
      </c>
      <c r="D18" s="4" t="n">
        <v>1728644.31</v>
      </c>
      <c r="E18" s="5" t="inlineStr">
        <is>
          <t>00:02:03</t>
        </is>
      </c>
      <c r="F18" s="287" t="n">
        <v>0.47</v>
      </c>
      <c r="G18" s="287" t="n">
        <v>-0.07000000000000001</v>
      </c>
    </row>
    <row r="19">
      <c r="B19" s="3" t="n">
        <v>45839</v>
      </c>
      <c r="C19" s="4" t="n">
        <v>3408481.59</v>
      </c>
      <c r="D19" s="4" t="n">
        <v>1871376.44</v>
      </c>
      <c r="E19" s="5" t="inlineStr">
        <is>
          <t>00:02:10</t>
        </is>
      </c>
      <c r="F19" s="287" t="n">
        <v>0.44</v>
      </c>
      <c r="G19" s="287" t="n">
        <v>-0.04</v>
      </c>
      <c r="K19" s="38" t="n"/>
    </row>
    <row r="20">
      <c r="B20" s="3" t="n">
        <v>45870</v>
      </c>
      <c r="C20" s="4" t="n">
        <v>3424537.24</v>
      </c>
      <c r="D20" s="4" t="n">
        <v>2029330.77</v>
      </c>
      <c r="E20" s="5" t="inlineStr">
        <is>
          <t>00:02:27</t>
        </is>
      </c>
      <c r="F20" s="287" t="n">
        <v>0.34</v>
      </c>
      <c r="G20" s="287" t="n">
        <v>-0.06</v>
      </c>
    </row>
    <row r="21">
      <c r="B21" s="3" t="n">
        <v>45901</v>
      </c>
      <c r="C21" s="4" t="n">
        <v>3337945.87</v>
      </c>
      <c r="D21" s="4" t="n">
        <v>1859852.35</v>
      </c>
      <c r="E21" s="5" t="inlineStr">
        <is>
          <t>00:02:14</t>
        </is>
      </c>
      <c r="F21" s="287" t="n">
        <v>0.34</v>
      </c>
      <c r="G21" s="287" t="n">
        <v>-0.11</v>
      </c>
    </row>
    <row r="22">
      <c r="B22" s="3" t="n">
        <v>45931</v>
      </c>
      <c r="C22" s="4" t="n">
        <v>4546607</v>
      </c>
      <c r="D22" s="4" t="n">
        <v>2331366</v>
      </c>
      <c r="E22" s="7" t="n">
        <v>0.001354166666666667</v>
      </c>
      <c r="F22" s="287" t="n">
        <v>0.35</v>
      </c>
      <c r="G22" s="287" t="n">
        <v>-0.1</v>
      </c>
    </row>
    <row r="23">
      <c r="B23" s="3" t="n">
        <v>45962</v>
      </c>
      <c r="C23" s="4" t="n">
        <v>3551894</v>
      </c>
      <c r="D23" s="4" t="n">
        <v>2097630</v>
      </c>
      <c r="E23" s="7" t="n">
        <v>0.001377314814814815</v>
      </c>
      <c r="F23" s="287" t="n">
        <v>0.42</v>
      </c>
      <c r="G23" s="287" t="n">
        <v>-0.02</v>
      </c>
    </row>
    <row r="24">
      <c r="B24" s="3" t="n">
        <v>45992</v>
      </c>
      <c r="C24" s="4" t="n">
        <v>4123407</v>
      </c>
      <c r="D24" s="4" t="n">
        <v>2277608</v>
      </c>
      <c r="E24" s="7" t="n">
        <v>0.00130787037037037</v>
      </c>
      <c r="F24" s="287" t="n">
        <v>0.36</v>
      </c>
      <c r="G24" s="287" t="n">
        <v>-0.1</v>
      </c>
    </row>
    <row r="25">
      <c r="B25" s="3" t="n">
        <v>46023</v>
      </c>
      <c r="C25" s="4" t="n">
        <v>3309739</v>
      </c>
      <c r="D25" s="4" t="n">
        <v>2265486</v>
      </c>
      <c r="E25" s="7" t="n">
        <v>0.001608796296296296</v>
      </c>
      <c r="F25" s="287" t="n">
        <v>0.35</v>
      </c>
      <c r="G25" s="287" t="n">
        <v>-0.08</v>
      </c>
    </row>
    <row r="26">
      <c r="B26" s="3" t="n">
        <v>46054</v>
      </c>
      <c r="C26" s="4" t="n">
        <v>3662435</v>
      </c>
      <c r="D26" s="4" t="n">
        <v>2218033.84</v>
      </c>
      <c r="E26" s="7" t="n">
        <v>0.001608796296296296</v>
      </c>
      <c r="F26" s="287" t="n">
        <v>0.37</v>
      </c>
      <c r="G26" s="287" t="n">
        <v>-0.03</v>
      </c>
    </row>
    <row r="27">
      <c r="B27" s="3" t="n">
        <v>46082</v>
      </c>
      <c r="C27" s="4" t="n">
        <v>3785910</v>
      </c>
      <c r="D27" s="4" t="n">
        <v>2180771</v>
      </c>
      <c r="E27" s="7" t="n">
        <v>0.001342592592592592</v>
      </c>
      <c r="F27" s="287" t="n">
        <v>0.39</v>
      </c>
      <c r="G27" s="287" t="n">
        <v>-0.09</v>
      </c>
      <c r="H27" s="9" t="n"/>
      <c r="I27" s="38" t="n"/>
    </row>
    <row r="28">
      <c r="B28" s="3" t="n">
        <v>46113</v>
      </c>
      <c r="C28" s="4">
        <f>4.088*1000000</f>
        <v/>
      </c>
      <c r="D28" s="4">
        <f>2.202*1000000</f>
        <v/>
      </c>
      <c r="E28" s="7" t="n">
        <v>0.001574074074074074</v>
      </c>
      <c r="F28" s="287" t="n">
        <v>0.4</v>
      </c>
      <c r="G28" s="287">
        <f>C28/C16-1</f>
        <v/>
      </c>
      <c r="H28" s="9" t="n"/>
      <c r="I28" s="38" t="n"/>
    </row>
    <row r="29">
      <c r="B29" s="3" t="n">
        <v>46143</v>
      </c>
      <c r="C29" s="4">
        <f>3.252*1000000</f>
        <v/>
      </c>
      <c r="D29" s="4">
        <f>1.805*1000000</f>
        <v/>
      </c>
      <c r="E29" s="7" t="n">
        <v>0.001597222222222222</v>
      </c>
      <c r="F29" s="287" t="n">
        <v>0.33</v>
      </c>
      <c r="G29" s="287">
        <f>C29/C17-1</f>
        <v/>
      </c>
      <c r="H29" s="157" t="n"/>
      <c r="I29" s="38" t="n"/>
    </row>
    <row r="30" hidden="1" ht="12" customHeight="1">
      <c r="D30" s="9" t="n"/>
      <c r="E30" s="10" t="n"/>
      <c r="F30" s="11" t="n"/>
      <c r="G30" s="288" t="n"/>
    </row>
    <row r="31" hidden="1">
      <c r="B31" s="187" t="inlineStr">
        <is>
          <t>Avg. Monthly Visits by Brands (Apr'25-Mar'26)</t>
        </is>
      </c>
    </row>
    <row r="32" hidden="1">
      <c r="B32" s="187" t="inlineStr">
        <is>
          <t>Overall</t>
        </is>
      </c>
      <c r="C32" s="187" t="inlineStr">
        <is>
          <t>Brands</t>
        </is>
      </c>
      <c r="D32" s="246" t="n"/>
      <c r="E32" s="246" t="n"/>
      <c r="F32" s="246" t="n"/>
      <c r="G32" s="246" t="n"/>
      <c r="H32" s="246" t="n"/>
      <c r="I32" s="246" t="n"/>
      <c r="J32" s="246" t="n"/>
      <c r="K32" s="247" t="n"/>
    </row>
    <row r="33" hidden="1">
      <c r="B33" s="187" t="inlineStr">
        <is>
          <t>Metrics</t>
        </is>
      </c>
      <c r="C33" s="187" t="inlineStr">
        <is>
          <t>Asian Paints</t>
        </is>
      </c>
      <c r="D33" s="187" t="inlineStr">
        <is>
          <t>Birla Opus</t>
        </is>
      </c>
      <c r="E33" s="187" t="inlineStr">
        <is>
          <t>Berger</t>
        </is>
      </c>
      <c r="F33" s="187" t="inlineStr">
        <is>
          <t>Dulux</t>
        </is>
      </c>
      <c r="G33" s="187" t="inlineStr">
        <is>
          <t>Nerolac</t>
        </is>
      </c>
      <c r="H33" s="187" t="inlineStr">
        <is>
          <t>Indigo</t>
        </is>
      </c>
      <c r="I33" s="187" t="inlineStr">
        <is>
          <t>Nippon</t>
        </is>
      </c>
      <c r="J33" s="187" t="inlineStr">
        <is>
          <t>JSW</t>
        </is>
      </c>
      <c r="K33" s="187" t="inlineStr">
        <is>
          <t>Dr Fixit</t>
        </is>
      </c>
    </row>
    <row r="34" hidden="1" ht="14.45" customHeight="1">
      <c r="B34" s="5" t="inlineStr">
        <is>
          <t>Monthly visits</t>
        </is>
      </c>
      <c r="C34" s="5" t="inlineStr">
        <is>
          <t>3.536M</t>
        </is>
      </c>
      <c r="D34" s="289" t="n">
        <v>440243</v>
      </c>
      <c r="E34" s="289" t="n">
        <v>401455</v>
      </c>
      <c r="F34" s="289" t="n">
        <v>98160</v>
      </c>
      <c r="G34" s="289" t="n">
        <v>185505</v>
      </c>
      <c r="H34" s="289" t="n">
        <v>92138</v>
      </c>
      <c r="I34" s="289" t="n">
        <v>56201</v>
      </c>
      <c r="J34" s="289" t="n">
        <v>60037</v>
      </c>
      <c r="K34" s="289" t="n">
        <v>137089</v>
      </c>
    </row>
    <row r="35" hidden="1">
      <c r="B35" s="5" t="inlineStr">
        <is>
          <t>Monthly unique visitors</t>
        </is>
      </c>
      <c r="C35" s="5" t="inlineStr">
        <is>
          <t>2.085M</t>
        </is>
      </c>
      <c r="D35" s="289" t="n">
        <v>117227</v>
      </c>
      <c r="E35" s="289" t="n">
        <v>282915</v>
      </c>
      <c r="F35" s="289" t="n">
        <v>52226</v>
      </c>
      <c r="G35" s="289" t="n">
        <v>131563</v>
      </c>
      <c r="H35" s="289" t="n">
        <v>52793</v>
      </c>
      <c r="I35" s="289" t="n">
        <v>27366</v>
      </c>
      <c r="J35" s="289" t="n">
        <v>31304</v>
      </c>
      <c r="K35" s="289" t="n">
        <v>85838</v>
      </c>
    </row>
    <row r="36" hidden="1">
      <c r="B36" s="5" t="inlineStr">
        <is>
          <t>Visit duration</t>
        </is>
      </c>
      <c r="C36" s="14" t="n">
        <v>0.001481481481481481</v>
      </c>
      <c r="D36" s="14" t="n">
        <v>0.006412037037037037</v>
      </c>
      <c r="E36" s="14" t="n">
        <v>0.001342592592592592</v>
      </c>
      <c r="F36" s="14" t="n">
        <v>0.001111111111111111</v>
      </c>
      <c r="G36" s="14" t="n">
        <v>0.0008449074074074074</v>
      </c>
      <c r="H36" s="14" t="n">
        <v>0.0007060185185185185</v>
      </c>
      <c r="I36" s="14" t="n">
        <v>0.0008449074074074074</v>
      </c>
      <c r="J36" s="14" t="n">
        <v>0.001319444444444444</v>
      </c>
      <c r="K36" s="14" t="n">
        <v>0.0009375</v>
      </c>
    </row>
    <row r="37" hidden="1">
      <c r="B37" s="5" t="inlineStr">
        <is>
          <t>Bounce rate</t>
        </is>
      </c>
      <c r="C37" s="15" t="n">
        <v>0.44</v>
      </c>
      <c r="D37" s="15" t="n">
        <v>0.36</v>
      </c>
      <c r="E37" s="15" t="n">
        <v>0.36</v>
      </c>
      <c r="F37" s="15" t="n">
        <v>0.23</v>
      </c>
      <c r="G37" s="15" t="n">
        <v>0.28</v>
      </c>
      <c r="H37" s="15" t="n">
        <v>0.73</v>
      </c>
      <c r="I37" s="15" t="n">
        <v>0.55</v>
      </c>
      <c r="J37" s="15" t="n">
        <v>0.59</v>
      </c>
      <c r="K37" s="15" t="n">
        <v>0.32</v>
      </c>
    </row>
    <row r="38"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</row>
    <row r="39">
      <c r="B39" s="187" t="inlineStr">
        <is>
          <t>Avg. Monthly Visits by Brands (Apr-May'26)</t>
        </is>
      </c>
    </row>
    <row r="40">
      <c r="B40" s="187" t="inlineStr">
        <is>
          <t>Overall</t>
        </is>
      </c>
      <c r="C40" s="187" t="inlineStr">
        <is>
          <t>Brands</t>
        </is>
      </c>
      <c r="D40" s="246" t="n"/>
      <c r="E40" s="246" t="n"/>
      <c r="F40" s="246" t="n"/>
      <c r="G40" s="246" t="n"/>
      <c r="H40" s="246" t="n"/>
      <c r="I40" s="246" t="n"/>
      <c r="J40" s="246" t="n"/>
      <c r="K40" s="247" t="n"/>
    </row>
    <row r="41">
      <c r="B41" s="187" t="inlineStr">
        <is>
          <t>Metrics</t>
        </is>
      </c>
      <c r="C41" s="187" t="inlineStr">
        <is>
          <t>Asian Paints</t>
        </is>
      </c>
      <c r="D41" s="187" t="inlineStr">
        <is>
          <t>Birla Opus</t>
        </is>
      </c>
      <c r="E41" s="187" t="inlineStr">
        <is>
          <t>Berger</t>
        </is>
      </c>
      <c r="F41" s="187" t="inlineStr">
        <is>
          <t>Dulux</t>
        </is>
      </c>
      <c r="G41" s="187" t="inlineStr">
        <is>
          <t>Nerolac</t>
        </is>
      </c>
      <c r="H41" s="187" t="inlineStr">
        <is>
          <t>Indigo</t>
        </is>
      </c>
      <c r="I41" s="187" t="inlineStr">
        <is>
          <t>Nippon</t>
        </is>
      </c>
      <c r="J41" s="187" t="inlineStr">
        <is>
          <t>JSW</t>
        </is>
      </c>
      <c r="K41" s="187" t="inlineStr">
        <is>
          <t>Dr Fixit</t>
        </is>
      </c>
    </row>
    <row r="42">
      <c r="B42" s="5" t="inlineStr">
        <is>
          <t>Monthly visits</t>
        </is>
      </c>
      <c r="C42" s="5" t="inlineStr">
        <is>
          <t>3.670M</t>
        </is>
      </c>
      <c r="D42" s="289" t="n">
        <v>337148</v>
      </c>
      <c r="E42" s="289" t="n">
        <v>498343</v>
      </c>
      <c r="F42" s="289" t="n">
        <v>92076</v>
      </c>
      <c r="G42" s="289" t="n">
        <v>266004</v>
      </c>
      <c r="H42" s="289" t="n">
        <v>28410</v>
      </c>
      <c r="I42" s="289" t="n">
        <v>30172</v>
      </c>
      <c r="J42" s="289" t="n">
        <v>89978</v>
      </c>
      <c r="K42" s="289" t="n">
        <v>115664</v>
      </c>
    </row>
    <row r="43">
      <c r="B43" s="5" t="inlineStr">
        <is>
          <t>Monthly unique visitors</t>
        </is>
      </c>
      <c r="C43" s="5" t="inlineStr">
        <is>
          <t>2.004M</t>
        </is>
      </c>
      <c r="D43" s="289" t="n">
        <v>202786</v>
      </c>
      <c r="E43" s="289" t="n">
        <v>311136</v>
      </c>
      <c r="F43" s="289" t="n">
        <v>55611</v>
      </c>
      <c r="G43" s="289" t="n">
        <v>139280</v>
      </c>
      <c r="H43" s="289" t="n">
        <v>17924</v>
      </c>
      <c r="I43" s="289" t="n">
        <v>21664</v>
      </c>
      <c r="J43" s="289" t="n">
        <v>40942</v>
      </c>
      <c r="K43" s="289" t="n">
        <v>63987</v>
      </c>
    </row>
    <row r="44">
      <c r="B44" s="5" t="inlineStr">
        <is>
          <t>Visit duration</t>
        </is>
      </c>
      <c r="C44" s="14" t="n">
        <v>0.001585648148148148</v>
      </c>
      <c r="D44" s="14" t="n">
        <v>0.004861111111111111</v>
      </c>
      <c r="E44" s="14" t="n">
        <v>0.001423611111111111</v>
      </c>
      <c r="F44" s="14" t="n">
        <v>0.001226851851851852</v>
      </c>
      <c r="G44" s="14" t="n">
        <v>0.001006944444444444</v>
      </c>
      <c r="H44" s="14" t="n">
        <v>0.0005787037037037037</v>
      </c>
      <c r="I44" s="14" t="n">
        <v>0.0005671296296296297</v>
      </c>
      <c r="J44" s="14" t="n">
        <v>0.0009027777777777777</v>
      </c>
      <c r="K44" s="14" t="n">
        <v>0.001284722222222222</v>
      </c>
    </row>
    <row r="45" hidden="1" ht="12" customHeight="1">
      <c r="B45" s="5" t="inlineStr">
        <is>
          <t>Bounce rate</t>
        </is>
      </c>
      <c r="C45" s="89" t="n">
        <v>0.4</v>
      </c>
      <c r="D45" s="89" t="n">
        <v>0.4</v>
      </c>
      <c r="E45" s="89" t="n">
        <v>0.32</v>
      </c>
      <c r="F45" s="89" t="n">
        <v>0.22</v>
      </c>
      <c r="G45" s="89" t="n">
        <v>0.29</v>
      </c>
      <c r="H45" s="89" t="n">
        <v>0.68</v>
      </c>
      <c r="I45" s="89" t="n">
        <v>0.47</v>
      </c>
      <c r="J45" s="89" t="n">
        <v>0.73</v>
      </c>
      <c r="K45" s="89" t="n">
        <v>0.41</v>
      </c>
    </row>
    <row r="46" hidden="1"/>
    <row r="47" hidden="1">
      <c r="B47" s="187" t="inlineStr">
        <is>
          <t>Avg. Monthly Visits by Brands by Channel (Apr'25-Mar'26)</t>
        </is>
      </c>
    </row>
    <row r="48" hidden="1">
      <c r="B48" s="187" t="inlineStr">
        <is>
          <t>Domain</t>
        </is>
      </c>
      <c r="C48" s="187" t="inlineStr">
        <is>
          <t>Direct</t>
        </is>
      </c>
      <c r="D48" s="187" t="inlineStr">
        <is>
          <t>Display Ads</t>
        </is>
      </c>
      <c r="E48" s="187" t="inlineStr">
        <is>
          <t>Email</t>
        </is>
      </c>
      <c r="F48" s="187" t="inlineStr">
        <is>
          <t>Organic Search</t>
        </is>
      </c>
      <c r="G48" s="187" t="inlineStr">
        <is>
          <t>Paid Search</t>
        </is>
      </c>
      <c r="H48" s="187" t="inlineStr">
        <is>
          <t>Referrals</t>
        </is>
      </c>
      <c r="I48" s="187" t="inlineStr">
        <is>
          <t>Paid Social</t>
        </is>
      </c>
      <c r="J48" s="187" t="inlineStr">
        <is>
          <t>Total Visits</t>
        </is>
      </c>
      <c r="K48" s="187" t="inlineStr">
        <is>
          <t>Paid Search Cont%</t>
        </is>
      </c>
    </row>
    <row r="49" hidden="1">
      <c r="B49" s="5" t="inlineStr">
        <is>
          <t>asianpaints.com</t>
        </is>
      </c>
      <c r="C49" s="290" t="n">
        <v>12475872.31</v>
      </c>
      <c r="D49" s="290" t="n">
        <v>224599.24</v>
      </c>
      <c r="E49" s="290" t="n">
        <v>3945.44</v>
      </c>
      <c r="F49" s="290" t="n">
        <v>20345096.42</v>
      </c>
      <c r="G49" s="290" t="n">
        <v>4212763.58</v>
      </c>
      <c r="H49" s="290" t="n">
        <v>896645.6</v>
      </c>
      <c r="I49" s="290" t="n">
        <v>2595730.09</v>
      </c>
      <c r="J49" s="290">
        <f>SUM(C49:I49)</f>
        <v/>
      </c>
      <c r="K49" s="17">
        <f>G49/J49</f>
        <v/>
      </c>
      <c r="M49" s="77" t="n"/>
    </row>
    <row r="50" hidden="1">
      <c r="B50" s="5" t="inlineStr">
        <is>
          <t>birlaopus.com</t>
        </is>
      </c>
      <c r="C50" s="290" t="n">
        <v>1717707.51</v>
      </c>
      <c r="D50" s="290" t="n">
        <v>21725.84</v>
      </c>
      <c r="E50" s="290" t="n">
        <v>432.33</v>
      </c>
      <c r="F50" s="290" t="n">
        <v>1236466.92</v>
      </c>
      <c r="G50" s="290" t="n">
        <v>1556712.55</v>
      </c>
      <c r="H50" s="290" t="n">
        <v>128971.45</v>
      </c>
      <c r="I50" s="290" t="n">
        <v>114803.39</v>
      </c>
      <c r="J50" s="290">
        <f>SUM(C50:I50)</f>
        <v/>
      </c>
      <c r="K50" s="17">
        <f>G50/J50</f>
        <v/>
      </c>
    </row>
    <row r="51" hidden="1">
      <c r="B51" s="5" t="inlineStr">
        <is>
          <t>dulux.in</t>
        </is>
      </c>
      <c r="C51" s="290" t="n">
        <v>282079.83</v>
      </c>
      <c r="D51" s="290" t="n">
        <v>3068.37</v>
      </c>
      <c r="E51" s="290" t="n">
        <v>141.06</v>
      </c>
      <c r="F51" s="290" t="n">
        <v>880310.28</v>
      </c>
      <c r="G51" s="290" t="n">
        <v>353.67</v>
      </c>
      <c r="H51" s="290" t="n">
        <v>21106.44</v>
      </c>
      <c r="I51" s="290" t="n">
        <v>19613.86</v>
      </c>
      <c r="J51" s="290">
        <f>SUM(C51:I51)</f>
        <v/>
      </c>
      <c r="K51" s="17">
        <f>G51/J51</f>
        <v/>
      </c>
    </row>
    <row r="52" hidden="1">
      <c r="B52" s="5" t="inlineStr">
        <is>
          <t>nerolac.com</t>
        </is>
      </c>
      <c r="C52" s="290" t="n">
        <v>458130.73</v>
      </c>
      <c r="D52" s="290" t="n">
        <v>7771.43</v>
      </c>
      <c r="E52" s="290" t="n">
        <v>152.02</v>
      </c>
      <c r="F52" s="290" t="n">
        <v>1884468.36</v>
      </c>
      <c r="G52" s="290" t="n">
        <v>56949.06</v>
      </c>
      <c r="H52" s="290" t="n">
        <v>27039.3</v>
      </c>
      <c r="I52" s="290" t="n">
        <v>108865.06</v>
      </c>
      <c r="J52" s="290">
        <f>SUM(C52:I52)</f>
        <v/>
      </c>
      <c r="K52" s="17">
        <f>G52/J52</f>
        <v/>
      </c>
    </row>
    <row r="53" hidden="1">
      <c r="B53" s="5" t="inlineStr">
        <is>
          <t>bergerpaints.com</t>
        </is>
      </c>
      <c r="C53" s="290" t="n">
        <v>931305.62</v>
      </c>
      <c r="D53" s="290" t="n">
        <v>28282.11</v>
      </c>
      <c r="E53" s="290" t="n">
        <v>453.45</v>
      </c>
      <c r="F53" s="290" t="n">
        <v>2727624.38</v>
      </c>
      <c r="G53" s="290" t="n">
        <v>494248.76</v>
      </c>
      <c r="H53" s="290" t="n">
        <v>66524.3</v>
      </c>
      <c r="I53" s="290" t="n">
        <v>228922.23</v>
      </c>
      <c r="J53" s="290">
        <f>SUM(C53:I53)</f>
        <v/>
      </c>
      <c r="K53" s="17">
        <f>G53/J53</f>
        <v/>
      </c>
    </row>
    <row r="54" hidden="1">
      <c r="B54" s="5" t="inlineStr">
        <is>
          <t>drfixit.co.in</t>
        </is>
      </c>
      <c r="C54" s="290" t="n">
        <v>226525.57</v>
      </c>
      <c r="D54" s="290" t="n">
        <v>17432.8</v>
      </c>
      <c r="E54" s="290" t="n">
        <v>77.03</v>
      </c>
      <c r="F54" s="290" t="n">
        <v>1106588.26</v>
      </c>
      <c r="G54" s="290" t="n">
        <v>22797.59</v>
      </c>
      <c r="H54" s="290" t="n">
        <v>30768.48</v>
      </c>
      <c r="I54" s="290" t="n">
        <v>85164.13</v>
      </c>
      <c r="J54" s="290">
        <f>SUM(C54:I54)</f>
        <v/>
      </c>
      <c r="K54" s="17">
        <f>G54/J54</f>
        <v/>
      </c>
    </row>
    <row r="55" hidden="1">
      <c r="B55" s="5" t="inlineStr">
        <is>
          <t>indigopaints.com</t>
        </is>
      </c>
      <c r="C55" s="290" t="n">
        <v>267112.43</v>
      </c>
      <c r="D55" s="290" t="n">
        <v>29071.76</v>
      </c>
      <c r="E55" s="290" t="n">
        <v>96.92</v>
      </c>
      <c r="F55" s="290" t="n">
        <v>539841.3</v>
      </c>
      <c r="G55" s="290" t="n">
        <v>197258.28</v>
      </c>
      <c r="H55" s="290" t="n">
        <v>17322.96</v>
      </c>
      <c r="I55" s="290" t="n">
        <v>64420.9</v>
      </c>
      <c r="J55" s="290">
        <f>SUM(C55:I55)</f>
        <v/>
      </c>
      <c r="K55" s="17">
        <f>G55/J55</f>
        <v/>
      </c>
    </row>
    <row r="56" hidden="1">
      <c r="B56" s="5" t="inlineStr">
        <is>
          <t>jswpaints.in</t>
        </is>
      </c>
      <c r="C56" s="290" t="n">
        <v>270563.39</v>
      </c>
      <c r="D56" s="290" t="n">
        <v>8300.73</v>
      </c>
      <c r="E56" s="290" t="n">
        <v>107.69</v>
      </c>
      <c r="F56" s="290" t="n">
        <v>470623.2</v>
      </c>
      <c r="G56" s="290" t="n">
        <v>7608.98</v>
      </c>
      <c r="H56" s="290" t="n">
        <v>27781.64</v>
      </c>
      <c r="I56" s="290" t="n">
        <v>10066.8</v>
      </c>
      <c r="J56" s="290">
        <f>SUM(C56:I56)</f>
        <v/>
      </c>
      <c r="K56" s="17">
        <f>G56/J56</f>
        <v/>
      </c>
    </row>
    <row r="57" hidden="1">
      <c r="B57" s="5" t="inlineStr">
        <is>
          <t>nipponpaint.co.in</t>
        </is>
      </c>
      <c r="C57" s="290" t="n">
        <v>186594.25</v>
      </c>
      <c r="D57" s="290" t="n">
        <v>4140.3</v>
      </c>
      <c r="E57" s="290" t="n">
        <v>49.3</v>
      </c>
      <c r="F57" s="290" t="n">
        <v>345318.2</v>
      </c>
      <c r="G57" s="290" t="n">
        <v>15705.1</v>
      </c>
      <c r="H57" s="290" t="n">
        <v>6905.2</v>
      </c>
      <c r="I57" s="290" t="n">
        <v>28231.37</v>
      </c>
      <c r="J57" s="290">
        <f>SUM(C57:I57)</f>
        <v/>
      </c>
      <c r="K57" s="17">
        <f>G57/J57</f>
        <v/>
      </c>
    </row>
    <row r="58"/>
    <row r="59">
      <c r="B59" s="187" t="inlineStr">
        <is>
          <t>Avg. Monthly Visits by Brands (Apr-May'26)</t>
        </is>
      </c>
    </row>
    <row r="60">
      <c r="B60" s="187" t="inlineStr">
        <is>
          <t>Domain</t>
        </is>
      </c>
      <c r="C60" s="187" t="inlineStr">
        <is>
          <t>Direct</t>
        </is>
      </c>
      <c r="D60" s="187" t="inlineStr">
        <is>
          <t>Display Ads</t>
        </is>
      </c>
      <c r="E60" s="187" t="inlineStr">
        <is>
          <t>Email</t>
        </is>
      </c>
      <c r="F60" s="187" t="inlineStr">
        <is>
          <t>Organic Search</t>
        </is>
      </c>
      <c r="G60" s="187" t="inlineStr">
        <is>
          <t>Paid Search</t>
        </is>
      </c>
      <c r="H60" s="187" t="inlineStr">
        <is>
          <t>Referrals</t>
        </is>
      </c>
      <c r="I60" s="187" t="inlineStr">
        <is>
          <t>Paid Social</t>
        </is>
      </c>
      <c r="J60" s="187" t="inlineStr">
        <is>
          <t>Total Visits</t>
        </is>
      </c>
      <c r="K60" s="187" t="inlineStr">
        <is>
          <t>Paid Search Cont%</t>
        </is>
      </c>
    </row>
    <row r="61">
      <c r="B61" s="5" t="inlineStr">
        <is>
          <t>asianpaints.com</t>
        </is>
      </c>
      <c r="C61" s="290" t="n">
        <v>2506366.83</v>
      </c>
      <c r="D61" s="290" t="n">
        <v>246658.49</v>
      </c>
      <c r="E61" s="290" t="n">
        <v>153442.22</v>
      </c>
      <c r="F61" s="290" t="n">
        <v>3148750.29</v>
      </c>
      <c r="G61" s="290" t="n">
        <v>364648.68</v>
      </c>
      <c r="H61" s="290" t="n">
        <v>406654.76</v>
      </c>
      <c r="I61" s="290" t="n">
        <v>68302.84</v>
      </c>
      <c r="J61" s="290">
        <f>SUM(C61:I61)</f>
        <v/>
      </c>
      <c r="K61" s="17">
        <f>G61/J61</f>
        <v/>
      </c>
    </row>
    <row r="62">
      <c r="B62" s="5" t="inlineStr">
        <is>
          <t>birlaopus.com</t>
        </is>
      </c>
      <c r="C62" s="290" t="n">
        <v>196543.93</v>
      </c>
      <c r="D62" s="290" t="n">
        <v>16651.77</v>
      </c>
      <c r="E62" s="290" t="n">
        <v>8927.299999999999</v>
      </c>
      <c r="F62" s="290" t="n">
        <v>289394</v>
      </c>
      <c r="G62" s="290" t="n">
        <v>32184.68</v>
      </c>
      <c r="H62" s="290" t="n">
        <v>39163.55</v>
      </c>
      <c r="I62" s="290" t="n">
        <v>4371.84</v>
      </c>
      <c r="J62" s="290">
        <f>SUM(C62:I62)</f>
        <v/>
      </c>
      <c r="K62" s="17">
        <f>G62/J62</f>
        <v/>
      </c>
    </row>
    <row r="63">
      <c r="B63" s="5" t="inlineStr">
        <is>
          <t>bergerpaints.com</t>
        </is>
      </c>
      <c r="C63" s="290" t="n">
        <v>143036.52</v>
      </c>
      <c r="D63" s="290" t="n">
        <v>50364.47</v>
      </c>
      <c r="E63" s="290" t="n">
        <v>1582.04</v>
      </c>
      <c r="F63" s="290" t="n">
        <v>602846.62</v>
      </c>
      <c r="G63" s="290" t="n">
        <v>95394.69</v>
      </c>
      <c r="H63" s="290" t="n">
        <v>17806.56</v>
      </c>
      <c r="I63" s="290" t="n">
        <v>3904.61</v>
      </c>
      <c r="J63" s="290">
        <f>SUM(C63:I63)</f>
        <v/>
      </c>
      <c r="K63" s="17">
        <f>G63/J63</f>
        <v/>
      </c>
    </row>
    <row r="64">
      <c r="B64" s="5" t="inlineStr">
        <is>
          <t>nerolac.com</t>
        </is>
      </c>
      <c r="C64" s="290" t="n">
        <v>111179.27</v>
      </c>
      <c r="D64" s="290" t="n">
        <v>10023.52</v>
      </c>
      <c r="E64" s="290" t="n">
        <v>18431.89</v>
      </c>
      <c r="F64" s="290" t="n">
        <v>276539</v>
      </c>
      <c r="G64" s="290" t="n">
        <v>62772.1</v>
      </c>
      <c r="H64" s="290" t="n">
        <v>11078.52</v>
      </c>
      <c r="I64" s="290" t="n">
        <v>2383.77</v>
      </c>
      <c r="J64" s="290">
        <f>SUM(C64:I64)</f>
        <v/>
      </c>
      <c r="K64" s="17">
        <f>G64/J64</f>
        <v/>
      </c>
    </row>
    <row r="65">
      <c r="B65" s="5" t="inlineStr">
        <is>
          <t>dulux.in</t>
        </is>
      </c>
      <c r="C65" s="290" t="n">
        <v>21858.9</v>
      </c>
      <c r="D65" s="291" t="n"/>
      <c r="E65" s="290" t="n">
        <v>15354.79</v>
      </c>
      <c r="F65" s="290" t="n">
        <v>124456.04</v>
      </c>
      <c r="G65" s="290" t="n">
        <v>1003.96</v>
      </c>
      <c r="H65" s="290" t="n">
        <v>2634.21</v>
      </c>
      <c r="I65" s="291" t="n"/>
      <c r="J65" s="290">
        <f>SUM(C65:I65)</f>
        <v/>
      </c>
      <c r="K65" s="17">
        <f>G65/J65</f>
        <v/>
      </c>
    </row>
    <row r="66">
      <c r="B66" s="5" t="inlineStr">
        <is>
          <t>drfixit.co.in</t>
        </is>
      </c>
      <c r="C66" s="290" t="n">
        <v>15523.66</v>
      </c>
      <c r="D66" s="290" t="n">
        <v>661.5599999999999</v>
      </c>
      <c r="E66" s="291" t="n"/>
      <c r="F66" s="290" t="n">
        <v>180464.23</v>
      </c>
      <c r="G66" s="290" t="n">
        <v>1513.9</v>
      </c>
      <c r="H66" s="290" t="n">
        <v>8855.780000000001</v>
      </c>
      <c r="I66" s="290" t="n">
        <v>3549.75</v>
      </c>
      <c r="J66" s="290">
        <f>SUM(C66:I66)</f>
        <v/>
      </c>
      <c r="K66" s="17">
        <f>G66/J66</f>
        <v/>
      </c>
    </row>
    <row r="67">
      <c r="B67" s="5" t="inlineStr">
        <is>
          <t>indigopaints.com</t>
        </is>
      </c>
      <c r="C67" s="290" t="n">
        <v>3522.48</v>
      </c>
      <c r="D67" s="291" t="n">
        <v>102.62</v>
      </c>
      <c r="E67" s="291" t="n"/>
      <c r="F67" s="290" t="n">
        <v>39921.27</v>
      </c>
      <c r="G67" s="290" t="n">
        <v>6298.64</v>
      </c>
      <c r="H67" s="290" t="n">
        <v>106.41</v>
      </c>
      <c r="I67" s="291" t="n"/>
      <c r="J67" s="290">
        <f>SUM(C67:I67)</f>
        <v/>
      </c>
      <c r="K67" s="17">
        <f>G67/J67</f>
        <v/>
      </c>
    </row>
    <row r="68">
      <c r="B68" s="5" t="inlineStr">
        <is>
          <t>jswpaints.in</t>
        </is>
      </c>
      <c r="C68" s="290" t="n">
        <v>32895.98</v>
      </c>
      <c r="D68" s="290" t="n">
        <v>2879.12</v>
      </c>
      <c r="E68" s="291" t="n">
        <v>387.48</v>
      </c>
      <c r="F68" s="290" t="n">
        <v>75786.82000000001</v>
      </c>
      <c r="G68" s="290" t="n">
        <v>228.61</v>
      </c>
      <c r="H68" s="290" t="n">
        <v>18803.62</v>
      </c>
      <c r="I68" s="291" t="n"/>
      <c r="J68" s="290">
        <f>SUM(C68:I68)</f>
        <v/>
      </c>
      <c r="K68" s="17">
        <f>G68/J68</f>
        <v/>
      </c>
    </row>
    <row r="69">
      <c r="B69" s="5" t="inlineStr">
        <is>
          <t>nipponpaint.co.in</t>
        </is>
      </c>
      <c r="C69" s="290" t="n">
        <v>16791.12</v>
      </c>
      <c r="D69" s="291" t="n"/>
      <c r="E69" s="291" t="n"/>
      <c r="F69" s="290" t="n">
        <v>41605.95</v>
      </c>
      <c r="G69" s="290" t="n">
        <v>430.86</v>
      </c>
      <c r="H69" s="290" t="n">
        <v>818.36</v>
      </c>
      <c r="I69" s="291" t="n"/>
      <c r="J69" s="290">
        <f>SUM(C69:I69)</f>
        <v/>
      </c>
      <c r="K69" s="17">
        <f>G69/J69</f>
        <v/>
      </c>
    </row>
    <row r="70"/>
    <row r="71">
      <c r="B71" s="187" t="inlineStr">
        <is>
          <t xml:space="preserve">% Paid Search Contribution </t>
        </is>
      </c>
      <c r="C71" s="187" t="n"/>
      <c r="D71" s="246" t="n"/>
      <c r="E71" s="246" t="n"/>
      <c r="F71" s="246" t="n"/>
      <c r="G71" s="246" t="n"/>
      <c r="H71" s="246" t="n"/>
      <c r="I71" s="246" t="n"/>
      <c r="J71" s="246" t="n"/>
      <c r="K71" s="246" t="n"/>
      <c r="L71" s="246" t="n"/>
      <c r="M71" s="246" t="n"/>
      <c r="N71" s="247" t="n"/>
    </row>
    <row r="72">
      <c r="B72" s="154" t="inlineStr">
        <is>
          <t>Brands - 25-26</t>
        </is>
      </c>
      <c r="C72" s="154" t="inlineStr">
        <is>
          <t>Apr</t>
        </is>
      </c>
      <c r="D72" s="154" t="inlineStr">
        <is>
          <t>May</t>
        </is>
      </c>
      <c r="E72" s="154" t="inlineStr">
        <is>
          <t>Jun</t>
        </is>
      </c>
      <c r="F72" s="154" t="inlineStr">
        <is>
          <t>Jul</t>
        </is>
      </c>
      <c r="G72" s="154" t="inlineStr">
        <is>
          <t>Aug</t>
        </is>
      </c>
      <c r="H72" s="154" t="inlineStr">
        <is>
          <t>Sept</t>
        </is>
      </c>
      <c r="I72" s="154" t="inlineStr">
        <is>
          <t>Oct</t>
        </is>
      </c>
      <c r="J72" s="154" t="inlineStr">
        <is>
          <t>Nov</t>
        </is>
      </c>
      <c r="K72" s="154" t="inlineStr">
        <is>
          <t>Dec</t>
        </is>
      </c>
      <c r="L72" s="154" t="inlineStr">
        <is>
          <t>Jan</t>
        </is>
      </c>
      <c r="M72" s="154" t="inlineStr">
        <is>
          <t>Feb</t>
        </is>
      </c>
      <c r="N72" s="154" t="inlineStr">
        <is>
          <t>Mar</t>
        </is>
      </c>
    </row>
    <row r="73">
      <c r="B73" s="5" t="inlineStr">
        <is>
          <t>Asian Paints</t>
        </is>
      </c>
      <c r="C73" s="18" t="n">
        <v>0.12</v>
      </c>
      <c r="D73" s="18" t="n">
        <v>0.11</v>
      </c>
      <c r="E73" s="18" t="n">
        <v>0.09</v>
      </c>
      <c r="F73" s="18" t="n">
        <v>0.11</v>
      </c>
      <c r="G73" s="18" t="n">
        <v>0.11</v>
      </c>
      <c r="H73" s="18" t="n">
        <v>0.12</v>
      </c>
      <c r="I73" s="18" t="n">
        <v>0.13</v>
      </c>
      <c r="J73" s="18" t="n">
        <v>0.1</v>
      </c>
      <c r="K73" s="18" t="n">
        <v>0.1</v>
      </c>
      <c r="L73" s="18" t="n">
        <v>0.09</v>
      </c>
      <c r="M73" s="18" t="n">
        <v>0.1</v>
      </c>
      <c r="N73" s="18" t="n">
        <v>0.1</v>
      </c>
    </row>
    <row r="74">
      <c r="B74" s="5" t="inlineStr">
        <is>
          <t>Birla Opus</t>
        </is>
      </c>
      <c r="C74" s="18" t="n">
        <v>0.68</v>
      </c>
      <c r="D74" s="18" t="n">
        <v>0.74</v>
      </c>
      <c r="E74" s="18" t="n">
        <v>0.67</v>
      </c>
      <c r="F74" s="18" t="n">
        <v>0.37</v>
      </c>
      <c r="G74" s="18" t="n">
        <v>0.21</v>
      </c>
      <c r="H74" s="18" t="n">
        <v>0.13</v>
      </c>
      <c r="I74" s="18" t="n">
        <v>0.26</v>
      </c>
      <c r="J74" s="18" t="n">
        <v>0.38</v>
      </c>
      <c r="K74" s="18" t="n">
        <v>0.4</v>
      </c>
      <c r="L74" s="18" t="n">
        <v>0.39</v>
      </c>
      <c r="M74" s="18" t="n">
        <v>0.37</v>
      </c>
      <c r="N74" s="18" t="n">
        <v>0.33</v>
      </c>
    </row>
    <row r="75">
      <c r="B75" s="154" t="inlineStr">
        <is>
          <t>Brands - 26-27</t>
        </is>
      </c>
      <c r="C75" s="154" t="inlineStr">
        <is>
          <t>Apr</t>
        </is>
      </c>
      <c r="D75" s="154" t="inlineStr">
        <is>
          <t>May</t>
        </is>
      </c>
      <c r="E75" s="154" t="inlineStr">
        <is>
          <t>Jun</t>
        </is>
      </c>
      <c r="F75" s="154" t="inlineStr">
        <is>
          <t>Jul</t>
        </is>
      </c>
      <c r="G75" s="154" t="inlineStr">
        <is>
          <t>Aug</t>
        </is>
      </c>
      <c r="H75" s="154" t="inlineStr">
        <is>
          <t>Sept</t>
        </is>
      </c>
      <c r="I75" s="154" t="inlineStr">
        <is>
          <t>Oct</t>
        </is>
      </c>
      <c r="J75" s="154" t="inlineStr">
        <is>
          <t>Nov</t>
        </is>
      </c>
      <c r="K75" s="154" t="inlineStr">
        <is>
          <t>Dec</t>
        </is>
      </c>
      <c r="L75" s="154" t="inlineStr">
        <is>
          <t>Jan</t>
        </is>
      </c>
      <c r="M75" s="154" t="inlineStr">
        <is>
          <t>Feb</t>
        </is>
      </c>
      <c r="N75" s="154" t="inlineStr">
        <is>
          <t>Mar</t>
        </is>
      </c>
    </row>
    <row r="76">
      <c r="B76" s="5" t="inlineStr">
        <is>
          <t>Asian Paints</t>
        </is>
      </c>
      <c r="C76" s="18" t="n">
        <v>0.05</v>
      </c>
      <c r="D76" s="18" t="n">
        <v>0.05</v>
      </c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</row>
    <row r="77">
      <c r="B77" s="5" t="inlineStr">
        <is>
          <t>Birla Opus</t>
        </is>
      </c>
      <c r="C77" s="18" t="n">
        <v>0.04</v>
      </c>
      <c r="D77" s="18" t="n">
        <v>0.05</v>
      </c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</row>
    <row r="78"/>
    <row r="79">
      <c r="B79" s="187" t="inlineStr">
        <is>
          <t>Absolutes</t>
        </is>
      </c>
      <c r="C79" s="187" t="inlineStr">
        <is>
          <t>2025-26</t>
        </is>
      </c>
      <c r="D79" s="246" t="n"/>
      <c r="E79" s="246" t="n"/>
      <c r="F79" s="246" t="n"/>
      <c r="G79" s="246" t="n"/>
      <c r="H79" s="246" t="n"/>
      <c r="I79" s="246" t="n"/>
      <c r="J79" s="246" t="n"/>
      <c r="K79" s="246" t="n"/>
      <c r="L79" s="246" t="n"/>
      <c r="M79" s="246" t="n"/>
      <c r="N79" s="247" t="n"/>
    </row>
    <row r="80">
      <c r="B80" s="154" t="inlineStr">
        <is>
          <t>Brands - 25-26</t>
        </is>
      </c>
      <c r="C80" s="154" t="inlineStr">
        <is>
          <t>Apr</t>
        </is>
      </c>
      <c r="D80" s="154" t="inlineStr">
        <is>
          <t>May</t>
        </is>
      </c>
      <c r="E80" s="154" t="inlineStr">
        <is>
          <t>Jun</t>
        </is>
      </c>
      <c r="F80" s="154" t="inlineStr">
        <is>
          <t>Jul</t>
        </is>
      </c>
      <c r="G80" s="154" t="inlineStr">
        <is>
          <t>Aug</t>
        </is>
      </c>
      <c r="H80" s="154" t="inlineStr">
        <is>
          <t>Sept</t>
        </is>
      </c>
      <c r="I80" s="154" t="inlineStr">
        <is>
          <t>Oct</t>
        </is>
      </c>
      <c r="J80" s="154" t="inlineStr">
        <is>
          <t>Nov</t>
        </is>
      </c>
      <c r="K80" s="154" t="inlineStr">
        <is>
          <t>Dec</t>
        </is>
      </c>
      <c r="L80" s="154" t="inlineStr">
        <is>
          <t>Jan</t>
        </is>
      </c>
      <c r="M80" s="154" t="inlineStr">
        <is>
          <t>Feb</t>
        </is>
      </c>
      <c r="N80" s="154" t="inlineStr">
        <is>
          <t>Mar</t>
        </is>
      </c>
    </row>
    <row r="81">
      <c r="B81" s="5" t="inlineStr">
        <is>
          <t>Asian Paints - Total Visits</t>
        </is>
      </c>
      <c r="C81" s="290" t="n">
        <v>3247313.18</v>
      </c>
      <c r="D81" s="290" t="n">
        <v>2908485.4</v>
      </c>
      <c r="E81" s="290" t="n">
        <v>3743169.72</v>
      </c>
      <c r="F81" s="290" t="n">
        <v>3465714</v>
      </c>
      <c r="G81" s="290" t="n">
        <v>3487762.74</v>
      </c>
      <c r="H81" s="290" t="n">
        <v>3450716.3</v>
      </c>
      <c r="I81" s="290" t="n">
        <v>4706429.54</v>
      </c>
      <c r="J81" s="290" t="n">
        <v>3987552.53</v>
      </c>
      <c r="K81" s="290" t="n">
        <v>4384432.59</v>
      </c>
      <c r="L81" s="290" t="n">
        <v>4546414.75</v>
      </c>
      <c r="M81" s="290" t="n">
        <v>3285881.74</v>
      </c>
      <c r="N81" s="290" t="n">
        <v>3940409.57</v>
      </c>
    </row>
    <row r="82">
      <c r="B82" s="5" t="inlineStr">
        <is>
          <t>Paid Search</t>
        </is>
      </c>
      <c r="C82" s="292" t="n">
        <v>333812.47</v>
      </c>
      <c r="D82" s="292" t="n">
        <v>335012.87</v>
      </c>
      <c r="E82" s="292" t="n">
        <v>330747.86</v>
      </c>
      <c r="F82" s="292" t="n">
        <v>438504.02</v>
      </c>
      <c r="G82" s="292" t="n">
        <v>420002.84</v>
      </c>
      <c r="H82" s="292" t="n">
        <v>531807.95</v>
      </c>
      <c r="I82" s="292" t="n">
        <v>679849.05</v>
      </c>
      <c r="J82" s="292" t="n">
        <v>425479.62</v>
      </c>
      <c r="K82" s="292" t="n">
        <v>387136.96</v>
      </c>
      <c r="L82" s="292" t="n">
        <v>345899.62</v>
      </c>
      <c r="M82" s="292" t="n">
        <v>289758.77</v>
      </c>
      <c r="N82" s="292" t="n">
        <v>428411.05</v>
      </c>
    </row>
    <row r="83">
      <c r="B83" s="5" t="inlineStr">
        <is>
          <t>Birla Opus - Total Visits</t>
        </is>
      </c>
      <c r="C83" s="290" t="n">
        <v>396273.42</v>
      </c>
      <c r="D83" s="290" t="n">
        <v>282691.35</v>
      </c>
      <c r="E83" s="290" t="n">
        <v>908674.34</v>
      </c>
      <c r="F83" s="290" t="n">
        <v>218131.14</v>
      </c>
      <c r="G83" s="290" t="n">
        <v>786645.59</v>
      </c>
      <c r="H83" s="290" t="n">
        <v>265542.13</v>
      </c>
      <c r="I83" s="290" t="n">
        <v>482376.75</v>
      </c>
      <c r="J83" s="290" t="n">
        <v>995267.1899999999</v>
      </c>
      <c r="K83" s="290" t="n">
        <v>791146.46</v>
      </c>
      <c r="L83" s="290" t="n">
        <v>813920.89</v>
      </c>
      <c r="M83" s="290" t="n">
        <v>512188.19</v>
      </c>
      <c r="N83" s="290" t="n">
        <v>774732.39</v>
      </c>
    </row>
    <row r="84">
      <c r="B84" s="5" t="inlineStr">
        <is>
          <t>Paid Search</t>
        </is>
      </c>
      <c r="C84" s="292" t="n">
        <v>219951.59</v>
      </c>
      <c r="D84" s="292" t="n">
        <v>208132.63</v>
      </c>
      <c r="E84" s="292" t="n">
        <v>570772.0699999999</v>
      </c>
      <c r="F84" s="292" t="n">
        <v>118372.09</v>
      </c>
      <c r="G84" s="292" t="n">
        <v>165654.87</v>
      </c>
      <c r="H84" s="292" t="n">
        <v>36597.4</v>
      </c>
      <c r="I84" s="292" t="n">
        <v>123639.92</v>
      </c>
      <c r="J84" s="292" t="n">
        <v>424361.91</v>
      </c>
      <c r="K84" s="292" t="n">
        <v>346384.16</v>
      </c>
      <c r="L84" s="292" t="n">
        <v>326498.03</v>
      </c>
      <c r="M84" s="292" t="n">
        <v>165604.38</v>
      </c>
      <c r="N84" s="292" t="n">
        <v>290116.6</v>
      </c>
    </row>
    <row r="85">
      <c r="B85" s="154" t="inlineStr">
        <is>
          <t>Brands - 26-27</t>
        </is>
      </c>
      <c r="C85" s="154" t="inlineStr">
        <is>
          <t>Apr</t>
        </is>
      </c>
      <c r="D85" s="154" t="inlineStr">
        <is>
          <t>May</t>
        </is>
      </c>
      <c r="E85" s="154" t="inlineStr">
        <is>
          <t>Jun</t>
        </is>
      </c>
      <c r="F85" s="154" t="inlineStr">
        <is>
          <t>Jul</t>
        </is>
      </c>
      <c r="G85" s="154" t="inlineStr">
        <is>
          <t>Aug</t>
        </is>
      </c>
      <c r="H85" s="154" t="inlineStr">
        <is>
          <t>Sept</t>
        </is>
      </c>
      <c r="I85" s="154" t="inlineStr">
        <is>
          <t>Oct</t>
        </is>
      </c>
      <c r="J85" s="154" t="inlineStr">
        <is>
          <t>Nov</t>
        </is>
      </c>
      <c r="K85" s="154" t="inlineStr">
        <is>
          <t>Dec</t>
        </is>
      </c>
      <c r="L85" s="154" t="inlineStr">
        <is>
          <t>Jan</t>
        </is>
      </c>
      <c r="M85" s="154" t="inlineStr">
        <is>
          <t>Feb</t>
        </is>
      </c>
      <c r="N85" s="154" t="inlineStr">
        <is>
          <t>Mar</t>
        </is>
      </c>
    </row>
    <row r="86">
      <c r="B86" s="5" t="inlineStr">
        <is>
          <t>Asian Paints - Total Visits</t>
        </is>
      </c>
      <c r="C86" s="290" t="n">
        <v>3983003.13</v>
      </c>
      <c r="D86" s="290" t="n">
        <v>3288742.06</v>
      </c>
      <c r="E86" s="290" t="n"/>
      <c r="F86" s="290" t="n"/>
      <c r="G86" s="290" t="n"/>
      <c r="H86" s="290" t="n"/>
      <c r="I86" s="290" t="n"/>
      <c r="J86" s="290" t="n"/>
      <c r="K86" s="290" t="n"/>
      <c r="L86" s="290" t="n"/>
      <c r="M86" s="290" t="n"/>
      <c r="N86" s="290" t="n"/>
    </row>
    <row r="87">
      <c r="B87" s="5" t="inlineStr">
        <is>
          <t>Paid Search</t>
        </is>
      </c>
      <c r="C87" s="292" t="n">
        <v>207603.22</v>
      </c>
      <c r="D87" s="292" t="n">
        <v>184841.19</v>
      </c>
      <c r="E87" s="292" t="n"/>
      <c r="F87" s="292" t="n"/>
      <c r="G87" s="292" t="n"/>
      <c r="H87" s="292" t="n"/>
      <c r="I87" s="292" t="n"/>
      <c r="J87" s="292" t="n"/>
      <c r="K87" s="292" t="n"/>
      <c r="L87" s="292" t="n"/>
      <c r="M87" s="292" t="n"/>
      <c r="N87" s="292" t="n"/>
    </row>
    <row r="88">
      <c r="B88" s="5" t="inlineStr">
        <is>
          <t>Birla Opus - Total Visits</t>
        </is>
      </c>
      <c r="C88" s="290" t="n">
        <v>390824.79</v>
      </c>
      <c r="D88" s="290" t="n">
        <v>251828.26</v>
      </c>
      <c r="E88" s="290" t="n"/>
      <c r="F88" s="290" t="n"/>
      <c r="G88" s="290" t="n"/>
      <c r="H88" s="290" t="n"/>
      <c r="I88" s="290" t="n"/>
      <c r="J88" s="290" t="n"/>
      <c r="K88" s="290" t="n"/>
      <c r="L88" s="290" t="n"/>
      <c r="M88" s="290" t="n"/>
      <c r="N88" s="290" t="n"/>
    </row>
    <row r="89">
      <c r="B89" s="5" t="inlineStr">
        <is>
          <t>Paid Search</t>
        </is>
      </c>
      <c r="C89" s="292" t="n">
        <v>21560.12</v>
      </c>
      <c r="D89" s="292" t="n">
        <v>13159.06</v>
      </c>
      <c r="E89" s="292" t="n"/>
      <c r="F89" s="292" t="n"/>
      <c r="G89" s="292" t="n"/>
      <c r="H89" s="292" t="n"/>
      <c r="I89" s="292" t="n"/>
      <c r="J89" s="292" t="n"/>
      <c r="K89" s="292" t="n"/>
      <c r="L89" s="292" t="n"/>
      <c r="M89" s="292" t="n"/>
      <c r="N89" s="292" t="n"/>
    </row>
    <row r="90">
      <c r="B90" s="21" t="n"/>
    </row>
    <row r="91">
      <c r="B91" s="184" t="inlineStr">
        <is>
          <t>AI Traffic - (Apr'25-May'26)</t>
        </is>
      </c>
      <c r="C91" s="246" t="n"/>
      <c r="D91" s="189" t="inlineStr">
        <is>
          <t>Asian Paints</t>
        </is>
      </c>
      <c r="E91" s="246" t="n"/>
      <c r="F91" s="247" t="n"/>
      <c r="G91" s="189" t="inlineStr">
        <is>
          <t>Berger</t>
        </is>
      </c>
      <c r="H91" s="246" t="n"/>
      <c r="I91" s="247" t="n"/>
      <c r="J91" s="189" t="inlineStr">
        <is>
          <t>Birla Opus</t>
        </is>
      </c>
      <c r="K91" s="246" t="n"/>
      <c r="L91" s="247" t="n"/>
      <c r="M91" s="190" t="inlineStr">
        <is>
          <t>Comments</t>
        </is>
      </c>
    </row>
    <row r="92">
      <c r="B92" s="187" t="inlineStr">
        <is>
          <t>Time Period</t>
        </is>
      </c>
      <c r="C92" s="187" t="inlineStr">
        <is>
          <t>Overall (Including all Brands)</t>
        </is>
      </c>
      <c r="D92" s="190" t="inlineStr">
        <is>
          <t>ChatGPT</t>
        </is>
      </c>
      <c r="E92" s="190" t="inlineStr">
        <is>
          <t>Perplexity</t>
        </is>
      </c>
      <c r="F92" s="190" t="inlineStr">
        <is>
          <t>Gemini</t>
        </is>
      </c>
      <c r="G92" s="190" t="inlineStr">
        <is>
          <t>ChatGPT</t>
        </is>
      </c>
      <c r="H92" s="190" t="inlineStr">
        <is>
          <t>Perplexity</t>
        </is>
      </c>
      <c r="I92" s="190" t="inlineStr">
        <is>
          <t>Gemini</t>
        </is>
      </c>
      <c r="J92" s="190" t="inlineStr">
        <is>
          <t>ChatGPT</t>
        </is>
      </c>
      <c r="K92" s="190" t="inlineStr">
        <is>
          <t>Perplexity</t>
        </is>
      </c>
      <c r="L92" s="190" t="inlineStr">
        <is>
          <t>Gemini</t>
        </is>
      </c>
      <c r="M92" s="254" t="n"/>
    </row>
    <row r="93">
      <c r="B93" s="293" t="n">
        <v>45748</v>
      </c>
      <c r="C93" s="290">
        <f>30.4*1000</f>
        <v/>
      </c>
      <c r="D93" s="290">
        <f>27.7*1000</f>
        <v/>
      </c>
      <c r="E93" s="5" t="n"/>
      <c r="F93" s="5" t="inlineStr">
        <is>
          <t>-</t>
        </is>
      </c>
      <c r="G93" s="5">
        <f>2.7*1000</f>
        <v/>
      </c>
      <c r="H93" s="5" t="inlineStr">
        <is>
          <t>-</t>
        </is>
      </c>
      <c r="I93" s="5" t="inlineStr">
        <is>
          <t>-</t>
        </is>
      </c>
      <c r="J93" s="5" t="inlineStr">
        <is>
          <t>-</t>
        </is>
      </c>
      <c r="K93" s="5" t="inlineStr">
        <is>
          <t>-</t>
        </is>
      </c>
      <c r="L93" s="5" t="inlineStr">
        <is>
          <t>-</t>
        </is>
      </c>
      <c r="M93" s="5" t="n"/>
      <c r="N93" s="294" t="n"/>
    </row>
    <row r="94">
      <c r="B94" s="293" t="n">
        <v>45778</v>
      </c>
      <c r="C94" s="290">
        <f>58*1000</f>
        <v/>
      </c>
      <c r="D94" s="290">
        <f>41.4*1000</f>
        <v/>
      </c>
      <c r="E94" s="5" t="n">
        <v>464</v>
      </c>
      <c r="F94" s="5" t="inlineStr">
        <is>
          <t>-</t>
        </is>
      </c>
      <c r="G94" s="5">
        <f>2.6*1000</f>
        <v/>
      </c>
      <c r="H94" s="5" t="inlineStr">
        <is>
          <t>-</t>
        </is>
      </c>
      <c r="I94" s="5" t="inlineStr">
        <is>
          <t>-</t>
        </is>
      </c>
      <c r="J94" s="5">
        <f>13.6*1000</f>
        <v/>
      </c>
      <c r="K94" s="5" t="inlineStr">
        <is>
          <t>-</t>
        </is>
      </c>
      <c r="L94" s="5" t="inlineStr">
        <is>
          <t>-</t>
        </is>
      </c>
      <c r="M94" s="155" t="n"/>
      <c r="N94" s="294" t="n"/>
    </row>
    <row r="95">
      <c r="B95" s="293" t="n">
        <v>45809</v>
      </c>
      <c r="C95" s="290">
        <f>37.9*1000</f>
        <v/>
      </c>
      <c r="D95" s="290">
        <f>35.9*1000</f>
        <v/>
      </c>
      <c r="E95" s="5" t="inlineStr">
        <is>
          <t>-</t>
        </is>
      </c>
      <c r="F95" s="5" t="n">
        <v>640</v>
      </c>
      <c r="G95" s="5">
        <f>1.4*1000</f>
        <v/>
      </c>
      <c r="H95" s="5" t="inlineStr">
        <is>
          <t>-</t>
        </is>
      </c>
      <c r="I95" s="5" t="inlineStr">
        <is>
          <t>-</t>
        </is>
      </c>
      <c r="J95" s="5" t="inlineStr">
        <is>
          <t>-</t>
        </is>
      </c>
      <c r="K95" s="5" t="inlineStr">
        <is>
          <t>-</t>
        </is>
      </c>
      <c r="L95" s="5" t="inlineStr">
        <is>
          <t>-</t>
        </is>
      </c>
      <c r="M95" s="5" t="n"/>
      <c r="N95" s="294" t="n"/>
    </row>
    <row r="96">
      <c r="B96" s="293" t="n">
        <v>45839</v>
      </c>
      <c r="C96" s="290">
        <f>31.4*1000</f>
        <v/>
      </c>
      <c r="D96" s="290">
        <f>26.6*1000</f>
        <v/>
      </c>
      <c r="E96" s="5">
        <f>3.9*1000</f>
        <v/>
      </c>
      <c r="F96" s="5" t="inlineStr">
        <is>
          <t>-</t>
        </is>
      </c>
      <c r="G96" s="5" t="n">
        <v>853</v>
      </c>
      <c r="H96" s="5" t="inlineStr">
        <is>
          <t>-</t>
        </is>
      </c>
      <c r="I96" s="5" t="inlineStr">
        <is>
          <t>-</t>
        </is>
      </c>
      <c r="J96" s="5" t="inlineStr">
        <is>
          <t>-</t>
        </is>
      </c>
      <c r="K96" s="5" t="inlineStr">
        <is>
          <t>-</t>
        </is>
      </c>
      <c r="L96" s="5" t="inlineStr">
        <is>
          <t>-</t>
        </is>
      </c>
      <c r="M96" s="5" t="n"/>
      <c r="N96" s="294" t="n"/>
    </row>
    <row r="97">
      <c r="B97" s="293" t="n">
        <v>45870</v>
      </c>
      <c r="C97" s="290">
        <f>17*1000</f>
        <v/>
      </c>
      <c r="D97" s="290">
        <f>15.4*1000</f>
        <v/>
      </c>
      <c r="E97" s="5">
        <f>1.5*1000</f>
        <v/>
      </c>
      <c r="F97" s="5" t="inlineStr">
        <is>
          <t>-</t>
        </is>
      </c>
      <c r="G97" s="5" t="n">
        <v>105</v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n"/>
      <c r="N97" s="294" t="n"/>
    </row>
    <row r="98">
      <c r="B98" s="293" t="n">
        <v>45901</v>
      </c>
      <c r="C98" s="290">
        <f>27.5*1000</f>
        <v/>
      </c>
      <c r="D98" s="290">
        <f>18.4*1000</f>
        <v/>
      </c>
      <c r="E98" s="5">
        <f>6.5*1000</f>
        <v/>
      </c>
      <c r="F98" s="5">
        <f>1.6*1000</f>
        <v/>
      </c>
      <c r="G98" s="5" t="inlineStr">
        <is>
          <t>-</t>
        </is>
      </c>
      <c r="H98" s="5" t="n">
        <v>995</v>
      </c>
      <c r="I98" s="5" t="inlineStr">
        <is>
          <t>-</t>
        </is>
      </c>
      <c r="J98" s="5" t="inlineStr">
        <is>
          <t>-</t>
        </is>
      </c>
      <c r="K98" s="5" t="inlineStr">
        <is>
          <t>-</t>
        </is>
      </c>
      <c r="L98" s="5" t="inlineStr">
        <is>
          <t>-</t>
        </is>
      </c>
      <c r="M98" s="5" t="n"/>
      <c r="N98" s="294" t="n"/>
    </row>
    <row r="99">
      <c r="B99" s="293" t="n">
        <v>45931</v>
      </c>
      <c r="C99" s="290">
        <f>22.9*1000</f>
        <v/>
      </c>
      <c r="D99" s="290">
        <f>7.5*1000</f>
        <v/>
      </c>
      <c r="E99" s="5" t="n">
        <v>9</v>
      </c>
      <c r="F99" s="5" t="n">
        <v>572</v>
      </c>
      <c r="G99" s="5">
        <f>4.8*1000</f>
        <v/>
      </c>
      <c r="H99" s="5" t="inlineStr">
        <is>
          <t>-</t>
        </is>
      </c>
      <c r="I99" s="5" t="n"/>
      <c r="J99" s="5" t="inlineStr">
        <is>
          <t>-</t>
        </is>
      </c>
      <c r="K99" s="5" t="inlineStr">
        <is>
          <t>-</t>
        </is>
      </c>
      <c r="L99" s="5" t="n"/>
      <c r="M99" s="155" t="n"/>
      <c r="N99" s="294" t="n"/>
    </row>
    <row r="100">
      <c r="B100" s="293" t="n">
        <v>45962</v>
      </c>
      <c r="C100" s="290">
        <f>39.7*1000</f>
        <v/>
      </c>
      <c r="D100" s="290">
        <f>33.2*1000</f>
        <v/>
      </c>
      <c r="E100" s="5" t="n">
        <v>339</v>
      </c>
      <c r="F100" s="5" t="inlineStr">
        <is>
          <t>-</t>
        </is>
      </c>
      <c r="G100" s="5" t="inlineStr">
        <is>
          <t>-</t>
        </is>
      </c>
      <c r="H100" s="5" t="inlineStr">
        <is>
          <t>-</t>
        </is>
      </c>
      <c r="I100" s="5" t="n"/>
      <c r="J100" s="5">
        <f>5.9*1000</f>
        <v/>
      </c>
      <c r="K100" s="5" t="inlineStr">
        <is>
          <t>-</t>
        </is>
      </c>
      <c r="L100" s="5" t="n"/>
      <c r="M100" s="155" t="n"/>
      <c r="N100" s="294" t="n"/>
    </row>
    <row r="101">
      <c r="B101" s="293" t="n">
        <v>45992</v>
      </c>
      <c r="C101" s="290">
        <f>37.7*1000</f>
        <v/>
      </c>
      <c r="D101" s="290">
        <f>16.8*1000</f>
        <v/>
      </c>
      <c r="E101" s="5" t="inlineStr">
        <is>
          <t>-</t>
        </is>
      </c>
      <c r="F101" s="5">
        <f>8.7*1000</f>
        <v/>
      </c>
      <c r="G101" s="5" t="inlineStr">
        <is>
          <t>-</t>
        </is>
      </c>
      <c r="H101" s="5" t="inlineStr">
        <is>
          <t>-</t>
        </is>
      </c>
      <c r="I101" s="5" t="inlineStr">
        <is>
          <t>-</t>
        </is>
      </c>
      <c r="J101" s="5">
        <f>7.9*1000</f>
        <v/>
      </c>
      <c r="K101" s="5">
        <f>2.3*1000</f>
        <v/>
      </c>
      <c r="L101" s="5" t="inlineStr">
        <is>
          <t>-</t>
        </is>
      </c>
      <c r="M101" s="155" t="n"/>
      <c r="N101" s="294" t="n"/>
    </row>
    <row r="102">
      <c r="B102" s="293" t="n">
        <v>46023</v>
      </c>
      <c r="C102" s="290">
        <f>26.6*1000</f>
        <v/>
      </c>
      <c r="D102" s="290">
        <f>18.3*1000</f>
        <v/>
      </c>
      <c r="E102" s="5" t="n">
        <v>294</v>
      </c>
      <c r="F102" s="5">
        <f>3.6*1000</f>
        <v/>
      </c>
      <c r="G102" s="5" t="inlineStr">
        <is>
          <t>-</t>
        </is>
      </c>
      <c r="H102" s="5" t="inlineStr">
        <is>
          <t>-</t>
        </is>
      </c>
      <c r="I102" s="5">
        <f>4.4*1000</f>
        <v/>
      </c>
      <c r="J102" s="5" t="inlineStr">
        <is>
          <t>-</t>
        </is>
      </c>
      <c r="K102" s="5" t="inlineStr">
        <is>
          <t>-</t>
        </is>
      </c>
      <c r="L102" s="5" t="inlineStr">
        <is>
          <t>-</t>
        </is>
      </c>
      <c r="M102" s="5" t="n"/>
      <c r="N102" s="294" t="n"/>
    </row>
    <row r="103">
      <c r="B103" s="293" t="n">
        <v>46054</v>
      </c>
      <c r="C103" s="290">
        <f>SUM(D103:L103)</f>
        <v/>
      </c>
      <c r="D103" s="290">
        <f>22.9*1000</f>
        <v/>
      </c>
      <c r="E103" s="5">
        <f>1.6*1000</f>
        <v/>
      </c>
      <c r="F103" s="5">
        <f>2.1*1000</f>
        <v/>
      </c>
      <c r="G103" s="5">
        <f>1.1*1000</f>
        <v/>
      </c>
      <c r="H103" s="5" t="n">
        <v>108</v>
      </c>
      <c r="I103" s="5" t="n">
        <v>402</v>
      </c>
      <c r="J103" s="5">
        <f>2.5*1000</f>
        <v/>
      </c>
      <c r="K103" s="5" t="n">
        <v>228</v>
      </c>
      <c r="L103" s="5" t="n">
        <v>1</v>
      </c>
      <c r="M103" s="5" t="n"/>
      <c r="N103" s="294" t="n"/>
    </row>
    <row r="104">
      <c r="B104" s="293" t="n">
        <v>46082</v>
      </c>
      <c r="C104" s="290">
        <f>SUM(D104:L104)</f>
        <v/>
      </c>
      <c r="D104" s="290" t="n">
        <v>13830</v>
      </c>
      <c r="E104" s="5" t="n">
        <v>1332</v>
      </c>
      <c r="F104" s="5" t="n">
        <v>339</v>
      </c>
      <c r="G104" s="5" t="n">
        <v>3764</v>
      </c>
      <c r="H104" s="5" t="inlineStr">
        <is>
          <t>-</t>
        </is>
      </c>
      <c r="I104" s="5" t="inlineStr">
        <is>
          <t>-</t>
        </is>
      </c>
      <c r="J104" s="5" t="inlineStr">
        <is>
          <t>-</t>
        </is>
      </c>
      <c r="K104" s="5" t="inlineStr">
        <is>
          <t>-</t>
        </is>
      </c>
      <c r="L104" s="5" t="inlineStr">
        <is>
          <t>-</t>
        </is>
      </c>
      <c r="M104" s="5" t="n"/>
      <c r="N104" s="294" t="n"/>
    </row>
    <row r="105">
      <c r="B105" s="293" t="n">
        <v>46113</v>
      </c>
      <c r="C105" s="290">
        <f>SUM(D105:L105)</f>
        <v/>
      </c>
      <c r="D105" s="290" t="n">
        <v>27478</v>
      </c>
      <c r="E105" s="5" t="n">
        <v>498</v>
      </c>
      <c r="F105" s="4" t="n">
        <v>1172</v>
      </c>
      <c r="G105" s="5" t="n">
        <v>2952</v>
      </c>
      <c r="H105" s="5" t="inlineStr">
        <is>
          <t>-</t>
        </is>
      </c>
      <c r="I105" s="5" t="inlineStr">
        <is>
          <t>-</t>
        </is>
      </c>
      <c r="J105" s="5" t="n">
        <v>105</v>
      </c>
      <c r="K105" s="5" t="inlineStr">
        <is>
          <t>-</t>
        </is>
      </c>
      <c r="L105" s="5" t="inlineStr">
        <is>
          <t>-</t>
        </is>
      </c>
      <c r="M105" s="5" t="n"/>
      <c r="N105" s="294" t="n"/>
    </row>
    <row r="106">
      <c r="B106" s="293" t="n">
        <v>46143</v>
      </c>
      <c r="C106" s="290">
        <f>40.1*1000</f>
        <v/>
      </c>
      <c r="D106" s="290" t="n">
        <v>32178</v>
      </c>
      <c r="E106" s="5" t="n">
        <v>272</v>
      </c>
      <c r="F106" s="4" t="n">
        <v>3188</v>
      </c>
      <c r="G106" s="4" t="n">
        <v>4808</v>
      </c>
      <c r="H106" s="5" t="inlineStr">
        <is>
          <t>-</t>
        </is>
      </c>
      <c r="I106" s="4" t="n">
        <v>1074</v>
      </c>
      <c r="J106" s="5" t="n">
        <v>325</v>
      </c>
      <c r="K106" s="5" t="inlineStr">
        <is>
          <t>-</t>
        </is>
      </c>
      <c r="L106" s="5" t="n">
        <v>368</v>
      </c>
      <c r="M106" s="5" t="n"/>
      <c r="N106" s="294" t="n"/>
    </row>
    <row r="107">
      <c r="D107" s="294" t="n"/>
      <c r="E107" s="241" t="n"/>
      <c r="F107" s="11" t="n"/>
    </row>
    <row r="108" customFormat="1" s="38">
      <c r="C108" s="38">
        <f>(C106-C105)/C105</f>
        <v/>
      </c>
      <c r="D108" s="38">
        <f>(D106-D105)/D105</f>
        <v/>
      </c>
      <c r="E108" s="38">
        <f>(E106-E105)/E105</f>
        <v/>
      </c>
      <c r="F108" s="38">
        <f>(F106-F105)/F105</f>
        <v/>
      </c>
      <c r="G108" s="38">
        <f>(G106-G105)/G105</f>
        <v/>
      </c>
      <c r="H108" s="38">
        <f>(H106-H105)/H105</f>
        <v/>
      </c>
      <c r="I108" s="38">
        <f>(I106-I105)/I105</f>
        <v/>
      </c>
      <c r="J108" s="38">
        <f>(J106-J105)/J105</f>
        <v/>
      </c>
      <c r="K108" s="38">
        <f>(K106-K105)/K105</f>
        <v/>
      </c>
      <c r="L108" s="38">
        <f>(L106-L105)/L105</f>
        <v/>
      </c>
      <c r="M108" s="38">
        <f>(M106-M105)/M105</f>
        <v/>
      </c>
    </row>
    <row r="109">
      <c r="D109" s="294">
        <f>SUM(D105:F105)</f>
        <v/>
      </c>
      <c r="G109" s="294">
        <f>SUM(G105:I105)</f>
        <v/>
      </c>
      <c r="J109" s="294">
        <f>SUM(J105:L105)</f>
        <v/>
      </c>
    </row>
    <row r="110">
      <c r="D110" s="294">
        <f>SUM(D106:F106)</f>
        <v/>
      </c>
      <c r="G110" s="294">
        <f>SUM(G106:I106)</f>
        <v/>
      </c>
      <c r="J110" s="294">
        <f>SUM(J106:L106)</f>
        <v/>
      </c>
    </row>
    <row r="111">
      <c r="D111" s="11">
        <f>(D110-D109)/D109</f>
        <v/>
      </c>
      <c r="E111" s="11" t="n"/>
      <c r="G111" s="11">
        <f>(G110-G109)/G109</f>
        <v/>
      </c>
      <c r="J111" s="11">
        <f>(J110-J109)/J109</f>
        <v/>
      </c>
    </row>
    <row r="112" ht="15" customHeight="1">
      <c r="D112" s="11">
        <f>D109/$C$105</f>
        <v/>
      </c>
      <c r="F112" s="120" t="n"/>
      <c r="G112" s="11">
        <f>G109/$C$105</f>
        <v/>
      </c>
      <c r="J112" s="11">
        <f>J109/$C$105</f>
        <v/>
      </c>
    </row>
    <row r="113">
      <c r="D113" s="11">
        <f>D110/$C$106</f>
        <v/>
      </c>
      <c r="G113" s="11">
        <f>G110/$C$106</f>
        <v/>
      </c>
      <c r="J113" s="11">
        <f>J110/$C$106</f>
        <v/>
      </c>
    </row>
  </sheetData>
  <mergeCells count="9">
    <mergeCell ref="B91:C91"/>
    <mergeCell ref="C71:N71"/>
    <mergeCell ref="C40:K40"/>
    <mergeCell ref="M91:M92"/>
    <mergeCell ref="J91:L91"/>
    <mergeCell ref="D91:F91"/>
    <mergeCell ref="C79:N79"/>
    <mergeCell ref="G91:I91"/>
    <mergeCell ref="C32:K3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82"/>
  <sheetViews>
    <sheetView showGridLines="0" zoomScale="69" zoomScaleNormal="69" workbookViewId="0">
      <pane xSplit="1" ySplit="2" topLeftCell="BC31" activePane="bottomRight" state="frozen"/>
      <selection pane="topRight" activeCell="B1" sqref="B1"/>
      <selection pane="bottomLeft" activeCell="A3" sqref="A3"/>
      <selection pane="bottomRight" activeCell="BQ50" activeCellId="1" sqref="A52:XFD52 A50:XFD50"/>
    </sheetView>
  </sheetViews>
  <sheetFormatPr baseColWidth="8" defaultColWidth="9.140625" defaultRowHeight="12"/>
  <cols>
    <col width="15.28515625" bestFit="1" customWidth="1" style="116" min="1" max="1"/>
    <col width="12.5703125" bestFit="1" customWidth="1" style="116" min="2" max="2"/>
    <col width="15.5703125" bestFit="1" customWidth="1" style="116" min="3" max="3"/>
    <col width="17.140625" bestFit="1" customWidth="1" style="116" min="4" max="4"/>
    <col width="9.140625" customWidth="1" style="116" min="5" max="5"/>
    <col width="15.28515625" bestFit="1" customWidth="1" style="116" min="6" max="6"/>
    <col width="12.5703125" bestFit="1" customWidth="1" style="116" min="7" max="7"/>
    <col width="15.5703125" bestFit="1" customWidth="1" style="116" min="8" max="8"/>
    <col width="17.140625" bestFit="1" customWidth="1" style="116" min="9" max="9"/>
    <col width="9.140625" customWidth="1" style="116" min="10" max="10"/>
    <col width="15.28515625" bestFit="1" customWidth="1" style="116" min="11" max="11"/>
    <col width="12.5703125" bestFit="1" customWidth="1" style="116" min="12" max="12"/>
    <col width="15.5703125" bestFit="1" customWidth="1" style="116" min="13" max="13"/>
    <col width="17.140625" bestFit="1" customWidth="1" style="116" min="14" max="14"/>
    <col width="9.140625" customWidth="1" style="116" min="15" max="15"/>
    <col width="15.28515625" bestFit="1" customWidth="1" style="116" min="16" max="16"/>
    <col width="12.5703125" bestFit="1" customWidth="1" style="116" min="17" max="17"/>
    <col width="15.5703125" bestFit="1" customWidth="1" style="116" min="18" max="18"/>
    <col width="17.140625" bestFit="1" customWidth="1" style="116" min="19" max="19"/>
    <col width="9.140625" customWidth="1" style="116" min="20" max="20"/>
    <col width="15.28515625" bestFit="1" customWidth="1" style="116" min="21" max="21"/>
    <col width="12.5703125" bestFit="1" customWidth="1" style="116" min="22" max="22"/>
    <col width="15.5703125" bestFit="1" customWidth="1" style="116" min="23" max="23"/>
    <col width="17.140625" bestFit="1" customWidth="1" style="116" min="24" max="24"/>
    <col width="9.140625" customWidth="1" style="116" min="25" max="25"/>
    <col width="15.28515625" bestFit="1" customWidth="1" style="116" min="26" max="26"/>
    <col width="12.5703125" bestFit="1" customWidth="1" style="116" min="27" max="27"/>
    <col width="15.5703125" bestFit="1" customWidth="1" style="116" min="28" max="28"/>
    <col width="17.140625" bestFit="1" customWidth="1" style="116" min="29" max="29"/>
    <col width="9.140625" customWidth="1" style="116" min="30" max="30"/>
    <col width="15.28515625" bestFit="1" customWidth="1" style="116" min="31" max="31"/>
    <col width="12.5703125" bestFit="1" customWidth="1" style="116" min="32" max="32"/>
    <col width="15.5703125" bestFit="1" customWidth="1" style="116" min="33" max="33"/>
    <col width="17.140625" bestFit="1" customWidth="1" style="116" min="34" max="34"/>
    <col width="9.140625" customWidth="1" style="116" min="35" max="35"/>
    <col width="15.28515625" bestFit="1" customWidth="1" style="116" min="36" max="36"/>
    <col width="12.5703125" bestFit="1" customWidth="1" style="116" min="37" max="37"/>
    <col width="15.5703125" bestFit="1" customWidth="1" style="116" min="38" max="38"/>
    <col width="17.140625" bestFit="1" customWidth="1" style="116" min="39" max="39"/>
    <col width="9.140625" customWidth="1" style="116" min="40" max="40"/>
    <col width="15.28515625" bestFit="1" customWidth="1" style="116" min="41" max="41"/>
    <col width="12.5703125" bestFit="1" customWidth="1" style="116" min="42" max="42"/>
    <col width="15.5703125" bestFit="1" customWidth="1" style="116" min="43" max="43"/>
    <col width="17.140625" bestFit="1" customWidth="1" style="116" min="44" max="44"/>
    <col width="9.140625" customWidth="1" style="116" min="45" max="45"/>
    <col width="15.28515625" bestFit="1" customWidth="1" style="116" min="46" max="46"/>
    <col width="12.5703125" bestFit="1" customWidth="1" style="116" min="47" max="47"/>
    <col width="15.5703125" bestFit="1" customWidth="1" style="116" min="48" max="48"/>
    <col width="17.140625" bestFit="1" customWidth="1" style="116" min="49" max="49"/>
    <col width="9.140625" customWidth="1" style="116" min="50" max="50"/>
    <col width="15.28515625" bestFit="1" customWidth="1" style="116" min="51" max="51"/>
    <col width="12.5703125" bestFit="1" customWidth="1" style="116" min="52" max="52"/>
    <col width="15.5703125" bestFit="1" customWidth="1" style="116" min="53" max="53"/>
    <col width="17.140625" bestFit="1" customWidth="1" style="116" min="54" max="54"/>
    <col width="9.140625" customWidth="1" style="116" min="55" max="55"/>
    <col width="15.28515625" bestFit="1" customWidth="1" style="116" min="56" max="56"/>
    <col width="12.5703125" bestFit="1" customWidth="1" style="116" min="57" max="57"/>
    <col width="15.5703125" bestFit="1" customWidth="1" style="116" min="58" max="58"/>
    <col width="17.140625" bestFit="1" customWidth="1" style="116" min="59" max="59"/>
    <col width="9.140625" customWidth="1" style="116" min="60" max="60"/>
    <col width="15.28515625" bestFit="1" customWidth="1" style="116" min="61" max="61"/>
    <col width="12.5703125" bestFit="1" customWidth="1" style="116" min="62" max="62"/>
    <col width="15.5703125" bestFit="1" customWidth="1" style="116" min="63" max="63"/>
    <col width="17.140625" bestFit="1" customWidth="1" style="116" min="64" max="64"/>
    <col width="9.140625" customWidth="1" style="116" min="65" max="65"/>
    <col width="15.28515625" bestFit="1" customWidth="1" style="116" min="66" max="66"/>
    <col width="12.5703125" bestFit="1" customWidth="1" style="116" min="67" max="67"/>
    <col width="15.5703125" bestFit="1" customWidth="1" style="116" min="68" max="68"/>
    <col width="17.140625" bestFit="1" customWidth="1" style="116" min="69" max="69"/>
    <col width="9.140625" customWidth="1" style="116" min="70" max="16384"/>
  </cols>
  <sheetData>
    <row r="1">
      <c r="A1" s="191" t="inlineStr">
        <is>
          <t>April'24</t>
        </is>
      </c>
      <c r="F1" s="191" t="inlineStr">
        <is>
          <t>May'24</t>
        </is>
      </c>
      <c r="K1" s="191" t="inlineStr">
        <is>
          <t>June'24</t>
        </is>
      </c>
      <c r="P1" s="191" t="inlineStr">
        <is>
          <t>July'24</t>
        </is>
      </c>
      <c r="U1" s="191" t="inlineStr">
        <is>
          <t>Aug'24</t>
        </is>
      </c>
      <c r="Z1" s="191" t="inlineStr">
        <is>
          <t>Sept'24</t>
        </is>
      </c>
      <c r="AE1" s="191" t="inlineStr">
        <is>
          <t>Oct'24</t>
        </is>
      </c>
      <c r="AI1" s="125" t="n"/>
      <c r="AJ1" s="191" t="inlineStr">
        <is>
          <t>Nov'24</t>
        </is>
      </c>
      <c r="AO1" s="191" t="inlineStr">
        <is>
          <t>Dec'24</t>
        </is>
      </c>
      <c r="AT1" s="191" t="inlineStr">
        <is>
          <t>Jan'25</t>
        </is>
      </c>
      <c r="AY1" s="191" t="inlineStr">
        <is>
          <t>Feb'25</t>
        </is>
      </c>
      <c r="BD1" s="191" t="inlineStr">
        <is>
          <t>Mar'25</t>
        </is>
      </c>
      <c r="BI1" s="191" t="inlineStr">
        <is>
          <t>Apr'25</t>
        </is>
      </c>
      <c r="BN1" s="191" t="inlineStr">
        <is>
          <t>May'25</t>
        </is>
      </c>
    </row>
    <row r="2">
      <c r="A2" s="126" t="inlineStr">
        <is>
          <t>Domain</t>
        </is>
      </c>
      <c r="B2" s="1" t="inlineStr">
        <is>
          <t>Channel</t>
        </is>
      </c>
      <c r="C2" s="288" t="inlineStr">
        <is>
          <t>Traffic share</t>
        </is>
      </c>
      <c r="D2" s="127" t="inlineStr">
        <is>
          <t>Channel Traffic</t>
        </is>
      </c>
      <c r="F2" s="126" t="inlineStr">
        <is>
          <t>Domain</t>
        </is>
      </c>
      <c r="G2" s="1" t="inlineStr">
        <is>
          <t>Channel</t>
        </is>
      </c>
      <c r="H2" s="288" t="inlineStr">
        <is>
          <t>Traffic share</t>
        </is>
      </c>
      <c r="I2" s="127" t="inlineStr">
        <is>
          <t>Channel Traffic</t>
        </is>
      </c>
      <c r="K2" s="126" t="inlineStr">
        <is>
          <t>Domain</t>
        </is>
      </c>
      <c r="L2" s="1" t="inlineStr">
        <is>
          <t>Channel</t>
        </is>
      </c>
      <c r="M2" s="288" t="inlineStr">
        <is>
          <t>Traffic share</t>
        </is>
      </c>
      <c r="N2" s="127" t="inlineStr">
        <is>
          <t>Channel Traffic</t>
        </is>
      </c>
      <c r="P2" s="126" t="inlineStr">
        <is>
          <t>Domain</t>
        </is>
      </c>
      <c r="Q2" s="1" t="inlineStr">
        <is>
          <t>Channel</t>
        </is>
      </c>
      <c r="R2" s="288" t="inlineStr">
        <is>
          <t>Traffic share</t>
        </is>
      </c>
      <c r="S2" s="127" t="inlineStr">
        <is>
          <t>Channel Traffic</t>
        </is>
      </c>
      <c r="U2" s="126" t="inlineStr">
        <is>
          <t>Domain</t>
        </is>
      </c>
      <c r="V2" s="1" t="inlineStr">
        <is>
          <t>Channel</t>
        </is>
      </c>
      <c r="W2" s="288" t="inlineStr">
        <is>
          <t>Traffic share</t>
        </is>
      </c>
      <c r="X2" s="127" t="inlineStr">
        <is>
          <t>Channel Traffic</t>
        </is>
      </c>
      <c r="Z2" s="128" t="inlineStr">
        <is>
          <t>Domain</t>
        </is>
      </c>
      <c r="AA2" s="129" t="inlineStr">
        <is>
          <t>Channel</t>
        </is>
      </c>
      <c r="AB2" s="295" t="inlineStr">
        <is>
          <t>Traffic share</t>
        </is>
      </c>
      <c r="AC2" s="131" t="inlineStr">
        <is>
          <t>Channel Traffic</t>
        </is>
      </c>
      <c r="AE2" s="132" t="inlineStr">
        <is>
          <t>Domain</t>
        </is>
      </c>
      <c r="AF2" s="133" t="inlineStr">
        <is>
          <t>Channel</t>
        </is>
      </c>
      <c r="AG2" s="296" t="inlineStr">
        <is>
          <t>Traffic share</t>
        </is>
      </c>
      <c r="AH2" s="135" t="inlineStr">
        <is>
          <t>Channel Traffic</t>
        </is>
      </c>
      <c r="AJ2" s="132" t="inlineStr">
        <is>
          <t>Domain</t>
        </is>
      </c>
      <c r="AK2" s="133" t="inlineStr">
        <is>
          <t>Channel</t>
        </is>
      </c>
      <c r="AL2" s="296" t="inlineStr">
        <is>
          <t>Traffic share</t>
        </is>
      </c>
      <c r="AM2" s="135" t="inlineStr">
        <is>
          <t>Channel Traffic</t>
        </is>
      </c>
      <c r="AO2" s="132" t="inlineStr">
        <is>
          <t>Domain</t>
        </is>
      </c>
      <c r="AP2" s="133" t="inlineStr">
        <is>
          <t>Channel</t>
        </is>
      </c>
      <c r="AQ2" s="296" t="inlineStr">
        <is>
          <t>Traffic share</t>
        </is>
      </c>
      <c r="AR2" s="135" t="inlineStr">
        <is>
          <t>Channel Traffic</t>
        </is>
      </c>
      <c r="AT2" s="132" t="inlineStr">
        <is>
          <t>Domain</t>
        </is>
      </c>
      <c r="AU2" s="133" t="inlineStr">
        <is>
          <t>Channel</t>
        </is>
      </c>
      <c r="AV2" s="296" t="inlineStr">
        <is>
          <t>Traffic share</t>
        </is>
      </c>
      <c r="AW2" s="135" t="inlineStr">
        <is>
          <t>Channel Traffic</t>
        </is>
      </c>
      <c r="AY2" s="132" t="inlineStr">
        <is>
          <t>Domain</t>
        </is>
      </c>
      <c r="AZ2" s="133" t="inlineStr">
        <is>
          <t>Channel</t>
        </is>
      </c>
      <c r="BA2" s="296" t="inlineStr">
        <is>
          <t>Traffic share</t>
        </is>
      </c>
      <c r="BB2" s="135" t="inlineStr">
        <is>
          <t>Channel Traffic</t>
        </is>
      </c>
      <c r="BD2" s="132" t="inlineStr">
        <is>
          <t>Domain</t>
        </is>
      </c>
      <c r="BE2" s="133" t="inlineStr">
        <is>
          <t>Channel</t>
        </is>
      </c>
      <c r="BF2" s="296" t="inlineStr">
        <is>
          <t>Traffic share</t>
        </is>
      </c>
      <c r="BG2" s="135" t="inlineStr">
        <is>
          <t>Channel Traffic</t>
        </is>
      </c>
      <c r="BI2" s="101" t="inlineStr">
        <is>
          <t>Domain</t>
        </is>
      </c>
      <c r="BJ2" s="102" t="inlineStr">
        <is>
          <t>Channel</t>
        </is>
      </c>
      <c r="BK2" s="297" t="inlineStr">
        <is>
          <t>Traffic share</t>
        </is>
      </c>
      <c r="BL2" s="104" t="inlineStr">
        <is>
          <t>Channel Traffic</t>
        </is>
      </c>
      <c r="BN2" s="101" t="inlineStr">
        <is>
          <t>Domain</t>
        </is>
      </c>
      <c r="BO2" s="102" t="inlineStr">
        <is>
          <t>Channel</t>
        </is>
      </c>
      <c r="BP2" s="297" t="inlineStr">
        <is>
          <t>Traffic share</t>
        </is>
      </c>
      <c r="BQ2" s="104" t="inlineStr">
        <is>
          <t>Channel Traffic</t>
        </is>
      </c>
    </row>
    <row r="3">
      <c r="A3" s="136" t="inlineStr">
        <is>
          <t>asianpaints.com</t>
        </is>
      </c>
      <c r="B3" s="106" t="inlineStr">
        <is>
          <t>Direct</t>
        </is>
      </c>
      <c r="C3" s="298" t="n">
        <v>0.84</v>
      </c>
      <c r="D3" s="137" t="n">
        <v>847717.84</v>
      </c>
      <c r="F3" s="136" t="inlineStr">
        <is>
          <t>asianpaints.com</t>
        </is>
      </c>
      <c r="G3" s="106" t="inlineStr">
        <is>
          <t>Direct</t>
        </is>
      </c>
      <c r="H3" s="298" t="n">
        <v>0.83</v>
      </c>
      <c r="I3" s="137" t="n">
        <v>907030.62</v>
      </c>
      <c r="K3" s="136" t="inlineStr">
        <is>
          <t>asianpaints.com</t>
        </is>
      </c>
      <c r="L3" s="106" t="inlineStr">
        <is>
          <t>Direct</t>
        </is>
      </c>
      <c r="M3" s="298" t="n">
        <v>0.84</v>
      </c>
      <c r="N3" s="137" t="n">
        <v>862989.65</v>
      </c>
      <c r="P3" s="136" t="inlineStr">
        <is>
          <t>asianpaints.com</t>
        </is>
      </c>
      <c r="Q3" s="106" t="inlineStr">
        <is>
          <t>Direct</t>
        </is>
      </c>
      <c r="R3" s="298" t="n">
        <v>0.88</v>
      </c>
      <c r="S3" s="137" t="n">
        <v>839548.5699999999</v>
      </c>
      <c r="U3" s="136" t="inlineStr">
        <is>
          <t>asianpaints.com</t>
        </is>
      </c>
      <c r="V3" s="106" t="inlineStr">
        <is>
          <t>Direct</t>
        </is>
      </c>
      <c r="W3" s="298" t="n">
        <v>0.74</v>
      </c>
      <c r="X3" s="137" t="n">
        <v>1011280.9</v>
      </c>
      <c r="Z3" s="136" t="inlineStr">
        <is>
          <t>asianpaints.com</t>
        </is>
      </c>
      <c r="AA3" s="106" t="inlineStr">
        <is>
          <t>Direct</t>
        </is>
      </c>
      <c r="AB3" s="298" t="n">
        <v>0.74</v>
      </c>
      <c r="AC3" s="137" t="n">
        <v>1073004.47</v>
      </c>
      <c r="AE3" s="136" t="inlineStr">
        <is>
          <t>asianpaints.com</t>
        </is>
      </c>
      <c r="AF3" s="106" t="inlineStr">
        <is>
          <t>Direct</t>
        </is>
      </c>
      <c r="AG3" s="298" t="n">
        <v>0.89</v>
      </c>
      <c r="AH3" s="137" t="n">
        <v>1255333.81</v>
      </c>
      <c r="AJ3" s="136" t="inlineStr">
        <is>
          <t>asianpaints.com</t>
        </is>
      </c>
      <c r="AK3" s="106" t="inlineStr">
        <is>
          <t>Direct</t>
        </is>
      </c>
      <c r="AL3" s="298" t="n">
        <v>0.58</v>
      </c>
      <c r="AM3" s="137" t="n">
        <v>1137494.26</v>
      </c>
      <c r="AO3" s="136" t="inlineStr">
        <is>
          <t>asianpaints.com</t>
        </is>
      </c>
      <c r="AP3" s="106" t="inlineStr">
        <is>
          <t>Direct</t>
        </is>
      </c>
      <c r="AQ3" s="298" t="n">
        <v>0.72</v>
      </c>
      <c r="AR3" s="137" t="n">
        <v>1251002.2</v>
      </c>
      <c r="AT3" s="136" t="inlineStr">
        <is>
          <t>asianpaints.com</t>
        </is>
      </c>
      <c r="AU3" s="106" t="inlineStr">
        <is>
          <t>Direct</t>
        </is>
      </c>
      <c r="AV3" s="298" t="n">
        <v>0.89</v>
      </c>
      <c r="AW3" s="137" t="n">
        <v>1194577.22</v>
      </c>
      <c r="AY3" s="136" t="inlineStr">
        <is>
          <t>asianpaints.com</t>
        </is>
      </c>
      <c r="AZ3" s="106" t="inlineStr">
        <is>
          <t>Direct</t>
        </is>
      </c>
      <c r="BA3" s="298" t="n">
        <v>0.83</v>
      </c>
      <c r="BB3" s="137" t="n">
        <v>1040911.07</v>
      </c>
      <c r="BD3" s="136" t="inlineStr">
        <is>
          <t>asianpaints.com</t>
        </is>
      </c>
      <c r="BE3" s="106" t="inlineStr">
        <is>
          <t>Direct</t>
        </is>
      </c>
      <c r="BF3" s="298" t="n">
        <v>0.8</v>
      </c>
      <c r="BG3" s="137" t="n">
        <v>1147606.04</v>
      </c>
      <c r="BI3" s="105" t="inlineStr">
        <is>
          <t>asianpaints.com</t>
        </is>
      </c>
      <c r="BJ3" s="106" t="inlineStr">
        <is>
          <t>Direct</t>
        </is>
      </c>
      <c r="BK3" s="298" t="n">
        <v>0.8</v>
      </c>
      <c r="BL3" s="108" t="n">
        <v>1276186.8</v>
      </c>
      <c r="BN3" s="105" t="inlineStr">
        <is>
          <t>asianpaints.com</t>
        </is>
      </c>
      <c r="BO3" s="106" t="inlineStr">
        <is>
          <t>Direct</t>
        </is>
      </c>
      <c r="BP3" s="298" t="n">
        <v>0.83</v>
      </c>
      <c r="BQ3" s="108" t="n">
        <v>1020220.15</v>
      </c>
    </row>
    <row r="4">
      <c r="A4" s="138" t="inlineStr">
        <is>
          <t>birlaopus.com</t>
        </is>
      </c>
      <c r="B4" s="5" t="inlineStr">
        <is>
          <t>Direct</t>
        </is>
      </c>
      <c r="C4" s="299" t="n">
        <v>0.04</v>
      </c>
      <c r="D4" s="139" t="n">
        <v>45939.74</v>
      </c>
      <c r="F4" s="138" t="inlineStr">
        <is>
          <t>birlaopus.com</t>
        </is>
      </c>
      <c r="G4" s="5" t="inlineStr">
        <is>
          <t>Direct</t>
        </is>
      </c>
      <c r="H4" s="299" t="n">
        <v>0.03</v>
      </c>
      <c r="I4" s="139" t="n">
        <v>32145.75</v>
      </c>
      <c r="K4" s="138" t="inlineStr">
        <is>
          <t>birlaopus.com</t>
        </is>
      </c>
      <c r="L4" s="5" t="inlineStr">
        <is>
          <t>Direct</t>
        </is>
      </c>
      <c r="M4" s="299" t="n">
        <v>0.12</v>
      </c>
      <c r="N4" s="139" t="n">
        <v>143781.13</v>
      </c>
      <c r="P4" s="138" t="inlineStr">
        <is>
          <t>birlaopus.com</t>
        </is>
      </c>
      <c r="Q4" s="5" t="inlineStr">
        <is>
          <t>Direct</t>
        </is>
      </c>
      <c r="R4" s="299" t="n">
        <v>0.08</v>
      </c>
      <c r="S4" s="139" t="n">
        <v>83270.66</v>
      </c>
      <c r="U4" s="138" t="inlineStr">
        <is>
          <t>birlaopus.com</t>
        </is>
      </c>
      <c r="V4" s="5" t="inlineStr">
        <is>
          <t>Direct</t>
        </is>
      </c>
      <c r="W4" s="299" t="n">
        <v>0.27</v>
      </c>
      <c r="X4" s="139" t="n">
        <v>380979.18</v>
      </c>
      <c r="Z4" s="138" t="inlineStr">
        <is>
          <t>birlaopus.com</t>
        </is>
      </c>
      <c r="AA4" s="5" t="inlineStr">
        <is>
          <t>Direct</t>
        </is>
      </c>
      <c r="AB4" s="299" t="n">
        <v>0.11</v>
      </c>
      <c r="AC4" s="139" t="n">
        <v>156241.14</v>
      </c>
      <c r="AE4" s="138" t="inlineStr">
        <is>
          <t>birlaopus.com</t>
        </is>
      </c>
      <c r="AF4" s="5" t="inlineStr">
        <is>
          <t>Direct</t>
        </is>
      </c>
      <c r="AG4" s="299" t="n">
        <v>0.1</v>
      </c>
      <c r="AH4" s="139" t="n">
        <v>167620.52</v>
      </c>
      <c r="AJ4" s="138" t="inlineStr">
        <is>
          <t>birlaopus.com</t>
        </is>
      </c>
      <c r="AK4" s="5" t="inlineStr">
        <is>
          <t>Direct</t>
        </is>
      </c>
      <c r="AL4" s="299" t="n">
        <v>0.24</v>
      </c>
      <c r="AM4" s="139" t="n">
        <v>424023.54</v>
      </c>
      <c r="AO4" s="138" t="inlineStr">
        <is>
          <t>birlaopus.com</t>
        </is>
      </c>
      <c r="AP4" s="5" t="inlineStr">
        <is>
          <t>Direct</t>
        </is>
      </c>
      <c r="AQ4" s="299" t="n">
        <v>0.22</v>
      </c>
      <c r="AR4" s="139" t="n">
        <v>277409.27</v>
      </c>
      <c r="AT4" s="138" t="inlineStr">
        <is>
          <t>birlaopus.com</t>
        </is>
      </c>
      <c r="AU4" s="5" t="inlineStr">
        <is>
          <t>Direct</t>
        </is>
      </c>
      <c r="AV4" s="299" t="n">
        <v>0.13</v>
      </c>
      <c r="AW4" s="139" t="n">
        <v>205696.66</v>
      </c>
      <c r="AY4" s="138" t="inlineStr">
        <is>
          <t>birlaopus.com</t>
        </is>
      </c>
      <c r="AZ4" s="5" t="inlineStr">
        <is>
          <t>Direct</t>
        </is>
      </c>
      <c r="BA4" s="299" t="n">
        <v>0.15</v>
      </c>
      <c r="BB4" s="139" t="n">
        <v>186815.15</v>
      </c>
      <c r="BD4" s="138" t="inlineStr">
        <is>
          <t>birlaopus.com</t>
        </is>
      </c>
      <c r="BE4" s="5" t="inlineStr">
        <is>
          <t>Direct</t>
        </is>
      </c>
      <c r="BF4" s="299" t="n">
        <v>0.13</v>
      </c>
      <c r="BG4" s="139" t="n">
        <v>256325.85</v>
      </c>
      <c r="BI4" s="109" t="inlineStr">
        <is>
          <t>birlaopus.com</t>
        </is>
      </c>
      <c r="BJ4" s="5" t="inlineStr">
        <is>
          <t>Direct</t>
        </is>
      </c>
      <c r="BK4" s="298" t="n">
        <v>0.12</v>
      </c>
      <c r="BL4" s="108" t="n">
        <v>203203.41</v>
      </c>
      <c r="BN4" s="109" t="inlineStr">
        <is>
          <t>birlaopus.com</t>
        </is>
      </c>
      <c r="BO4" s="5" t="inlineStr">
        <is>
          <t>Direct</t>
        </is>
      </c>
      <c r="BP4" s="298" t="n">
        <v>0.11</v>
      </c>
      <c r="BQ4" s="108" t="n">
        <v>117534.36</v>
      </c>
    </row>
    <row r="5">
      <c r="A5" s="136" t="inlineStr">
        <is>
          <t>bergerpaints.com</t>
        </is>
      </c>
      <c r="B5" s="106" t="inlineStr">
        <is>
          <t>Direct</t>
        </is>
      </c>
      <c r="C5" s="298" t="n">
        <v>0.05</v>
      </c>
      <c r="D5" s="137" t="n">
        <v>53652.44</v>
      </c>
      <c r="F5" s="136" t="inlineStr">
        <is>
          <t>bergerpaints.com</t>
        </is>
      </c>
      <c r="G5" s="106" t="inlineStr">
        <is>
          <t>Direct</t>
        </is>
      </c>
      <c r="H5" s="298" t="n">
        <v>0.05</v>
      </c>
      <c r="I5" s="137" t="n">
        <v>56477.49</v>
      </c>
      <c r="K5" s="136" t="inlineStr">
        <is>
          <t>bergerpaints.com</t>
        </is>
      </c>
      <c r="L5" s="106" t="inlineStr">
        <is>
          <t>Direct</t>
        </is>
      </c>
      <c r="M5" s="298" t="n">
        <v>0.04</v>
      </c>
      <c r="N5" s="137" t="n">
        <v>53455.46</v>
      </c>
      <c r="P5" s="136" t="inlineStr">
        <is>
          <t>bergerpaints.com</t>
        </is>
      </c>
      <c r="Q5" s="106" t="inlineStr">
        <is>
          <t>Direct</t>
        </is>
      </c>
      <c r="R5" s="298" t="n">
        <v>0.03</v>
      </c>
      <c r="S5" s="137" t="n">
        <v>33905.64</v>
      </c>
      <c r="U5" s="136" t="inlineStr">
        <is>
          <t>bergerpaints.com</t>
        </is>
      </c>
      <c r="V5" s="106" t="inlineStr">
        <is>
          <t>Direct</t>
        </is>
      </c>
      <c r="W5" s="298" t="n">
        <v>0.03</v>
      </c>
      <c r="X5" s="137" t="n">
        <v>38882.29</v>
      </c>
      <c r="Z5" s="136" t="inlineStr">
        <is>
          <t>bergerpaints.com</t>
        </is>
      </c>
      <c r="AA5" s="106" t="inlineStr">
        <is>
          <t>Direct</t>
        </is>
      </c>
      <c r="AB5" s="298" t="n">
        <v>0.03</v>
      </c>
      <c r="AC5" s="137" t="n">
        <v>44860.85</v>
      </c>
      <c r="AE5" s="136" t="inlineStr">
        <is>
          <t>bergerpaints.com</t>
        </is>
      </c>
      <c r="AF5" s="106" t="inlineStr">
        <is>
          <t>Direct</t>
        </is>
      </c>
      <c r="AG5" s="298" t="n">
        <v>0.05</v>
      </c>
      <c r="AH5" s="137" t="n">
        <v>71067.52</v>
      </c>
      <c r="AJ5" s="136" t="inlineStr">
        <is>
          <t>bergerpaints.com</t>
        </is>
      </c>
      <c r="AK5" s="106" t="inlineStr">
        <is>
          <t>Direct</t>
        </is>
      </c>
      <c r="AL5" s="298" t="n">
        <v>0.04</v>
      </c>
      <c r="AM5" s="137" t="n">
        <v>50150.03</v>
      </c>
      <c r="AO5" s="136" t="inlineStr">
        <is>
          <t>bergerpaints.com</t>
        </is>
      </c>
      <c r="AP5" s="106" t="inlineStr">
        <is>
          <t>Direct</t>
        </is>
      </c>
      <c r="AQ5" s="298" t="n">
        <v>0.03</v>
      </c>
      <c r="AR5" s="137" t="n">
        <v>44676.22</v>
      </c>
      <c r="AT5" s="136" t="inlineStr">
        <is>
          <t>bergerpaints.com</t>
        </is>
      </c>
      <c r="AU5" s="106" t="inlineStr">
        <is>
          <t>Direct</t>
        </is>
      </c>
      <c r="AV5" s="298" t="n">
        <v>0.04</v>
      </c>
      <c r="AW5" s="137" t="n">
        <v>48580.32</v>
      </c>
      <c r="AY5" s="136" t="inlineStr">
        <is>
          <t>bergerpaints.com</t>
        </is>
      </c>
      <c r="AZ5" s="106" t="inlineStr">
        <is>
          <t>Direct</t>
        </is>
      </c>
      <c r="BA5" s="298" t="n">
        <v>0.04</v>
      </c>
      <c r="BB5" s="137" t="n">
        <v>73372.84</v>
      </c>
      <c r="BD5" s="136" t="inlineStr">
        <is>
          <t>bergerpaints.com</t>
        </is>
      </c>
      <c r="BE5" s="106" t="inlineStr">
        <is>
          <t>Direct</t>
        </is>
      </c>
      <c r="BF5" s="298" t="n">
        <v>0.03</v>
      </c>
      <c r="BG5" s="137" t="n">
        <v>60448.07</v>
      </c>
      <c r="BI5" s="105" t="inlineStr">
        <is>
          <t>bergerpaints.com</t>
        </is>
      </c>
      <c r="BJ5" s="106" t="inlineStr">
        <is>
          <t>Direct</t>
        </is>
      </c>
      <c r="BK5" s="298" t="n">
        <v>0.02</v>
      </c>
      <c r="BL5" s="108" t="n">
        <v>41627.3</v>
      </c>
      <c r="BN5" s="105" t="inlineStr">
        <is>
          <t>bergerpaints.com</t>
        </is>
      </c>
      <c r="BO5" s="106" t="inlineStr">
        <is>
          <t>Direct</t>
        </is>
      </c>
      <c r="BP5" s="298" t="n">
        <v>0.03</v>
      </c>
      <c r="BQ5" s="108" t="n">
        <v>40969.9</v>
      </c>
    </row>
    <row r="6">
      <c r="A6" s="136" t="inlineStr">
        <is>
          <t>nerolac.com</t>
        </is>
      </c>
      <c r="B6" s="106" t="inlineStr">
        <is>
          <t>Direct</t>
        </is>
      </c>
      <c r="C6" s="298" t="n">
        <v>0.14</v>
      </c>
      <c r="D6" s="137" t="n">
        <v>122738.41</v>
      </c>
      <c r="F6" s="136" t="inlineStr">
        <is>
          <t>nerolac.com</t>
        </is>
      </c>
      <c r="G6" s="106" t="inlineStr">
        <is>
          <t>Direct</t>
        </is>
      </c>
      <c r="H6" s="298" t="n">
        <v>0.11</v>
      </c>
      <c r="I6" s="137" t="n">
        <v>123876.3</v>
      </c>
      <c r="K6" s="136" t="inlineStr">
        <is>
          <t>nerolac.com</t>
        </is>
      </c>
      <c r="L6" s="106" t="inlineStr">
        <is>
          <t>Direct</t>
        </is>
      </c>
      <c r="M6" s="298" t="n">
        <v>0.05</v>
      </c>
      <c r="N6" s="137" t="n">
        <v>60748.7</v>
      </c>
      <c r="P6" s="136" t="inlineStr">
        <is>
          <t>nerolac.com</t>
        </is>
      </c>
      <c r="Q6" s="106" t="inlineStr">
        <is>
          <t>Direct</t>
        </is>
      </c>
      <c r="R6" s="298" t="n">
        <v>0.07000000000000001</v>
      </c>
      <c r="S6" s="137" t="n">
        <v>75985.95</v>
      </c>
      <c r="U6" s="136" t="inlineStr">
        <is>
          <t>nerolac.com</t>
        </is>
      </c>
      <c r="V6" s="106" t="inlineStr">
        <is>
          <t>Direct</t>
        </is>
      </c>
      <c r="W6" s="298" t="n">
        <v>0.05</v>
      </c>
      <c r="X6" s="137" t="n">
        <v>88436.03999999999</v>
      </c>
      <c r="Z6" s="136" t="inlineStr">
        <is>
          <t>nerolac.com</t>
        </is>
      </c>
      <c r="AA6" s="106" t="inlineStr">
        <is>
          <t>Direct</t>
        </is>
      </c>
      <c r="AB6" s="298" t="n">
        <v>0.06</v>
      </c>
      <c r="AC6" s="137" t="n">
        <v>89899.67999999999</v>
      </c>
      <c r="AE6" s="136" t="inlineStr">
        <is>
          <t>nerolac.com</t>
        </is>
      </c>
      <c r="AF6" s="106" t="inlineStr">
        <is>
          <t>Direct</t>
        </is>
      </c>
      <c r="AG6" s="298" t="n">
        <v>0.06</v>
      </c>
      <c r="AH6" s="137" t="n">
        <v>95762.03999999999</v>
      </c>
      <c r="AJ6" s="136" t="inlineStr">
        <is>
          <t>nerolac.com</t>
        </is>
      </c>
      <c r="AK6" s="106" t="inlineStr">
        <is>
          <t>Direct</t>
        </is>
      </c>
      <c r="AL6" s="298" t="n">
        <v>0.04</v>
      </c>
      <c r="AM6" s="137" t="n">
        <v>53445.59</v>
      </c>
      <c r="AO6" s="136" t="inlineStr">
        <is>
          <t>nerolac.com</t>
        </is>
      </c>
      <c r="AP6" s="106" t="inlineStr">
        <is>
          <t>Direct</t>
        </is>
      </c>
      <c r="AQ6" s="298" t="n">
        <v>0.02</v>
      </c>
      <c r="AR6" s="137" t="n">
        <v>30584.5</v>
      </c>
      <c r="AT6" s="136" t="inlineStr">
        <is>
          <t>nerolac.com</t>
        </is>
      </c>
      <c r="AU6" s="106" t="inlineStr">
        <is>
          <t>Direct</t>
        </is>
      </c>
      <c r="AV6" s="298" t="n">
        <v>0.02</v>
      </c>
      <c r="AW6" s="137" t="n">
        <v>43611.92</v>
      </c>
      <c r="AY6" s="136" t="inlineStr">
        <is>
          <t>nerolac.com</t>
        </is>
      </c>
      <c r="AZ6" s="106" t="inlineStr">
        <is>
          <t>Direct</t>
        </is>
      </c>
      <c r="BA6" s="298" t="n">
        <v>0.03</v>
      </c>
      <c r="BB6" s="137" t="n">
        <v>47461.75</v>
      </c>
      <c r="BD6" s="136" t="inlineStr">
        <is>
          <t>nerolac.com</t>
        </is>
      </c>
      <c r="BE6" s="106" t="inlineStr">
        <is>
          <t>Direct</t>
        </is>
      </c>
      <c r="BF6" s="298" t="n">
        <v>0.06</v>
      </c>
      <c r="BG6" s="137" t="n">
        <v>111196.98</v>
      </c>
      <c r="BI6" s="105" t="inlineStr">
        <is>
          <t>nerolac.com</t>
        </is>
      </c>
      <c r="BJ6" s="106" t="inlineStr">
        <is>
          <t>Direct</t>
        </is>
      </c>
      <c r="BK6" s="298" t="n">
        <v>0.05</v>
      </c>
      <c r="BL6" s="108" t="n">
        <v>94420.92</v>
      </c>
      <c r="BN6" s="105" t="inlineStr">
        <is>
          <t>nerolac.com</t>
        </is>
      </c>
      <c r="BO6" s="106" t="inlineStr">
        <is>
          <t>Direct</t>
        </is>
      </c>
      <c r="BP6" s="298" t="n">
        <v>0.03</v>
      </c>
      <c r="BQ6" s="108" t="n">
        <v>32696.26</v>
      </c>
    </row>
    <row r="7">
      <c r="A7" s="136" t="inlineStr">
        <is>
          <t>asianpaints.com</t>
        </is>
      </c>
      <c r="B7" s="106" t="inlineStr">
        <is>
          <t>Display Ads</t>
        </is>
      </c>
      <c r="C7" s="298" t="n">
        <v>0.78</v>
      </c>
      <c r="D7" s="137" t="n">
        <v>13669.72</v>
      </c>
      <c r="F7" s="136" t="inlineStr">
        <is>
          <t>asianpaints.com</t>
        </is>
      </c>
      <c r="G7" s="106" t="inlineStr">
        <is>
          <t>Display Ads</t>
        </is>
      </c>
      <c r="H7" s="298" t="n">
        <v>0.75</v>
      </c>
      <c r="I7" s="137" t="n">
        <v>15204.77</v>
      </c>
      <c r="K7" s="136" t="inlineStr">
        <is>
          <t>asianpaints.com</t>
        </is>
      </c>
      <c r="L7" s="106" t="inlineStr">
        <is>
          <t>Display Ads</t>
        </is>
      </c>
      <c r="M7" s="298" t="n">
        <v>0.41</v>
      </c>
      <c r="N7" s="137" t="n">
        <v>14751.28</v>
      </c>
      <c r="P7" s="136" t="inlineStr">
        <is>
          <t>asianpaints.com</t>
        </is>
      </c>
      <c r="Q7" s="106" t="inlineStr">
        <is>
          <t>Display Ads</t>
        </is>
      </c>
      <c r="R7" s="298" t="n">
        <v>0.42</v>
      </c>
      <c r="S7" s="137" t="n">
        <v>11746.32</v>
      </c>
      <c r="U7" s="136" t="inlineStr">
        <is>
          <t>asianpaints.com</t>
        </is>
      </c>
      <c r="V7" s="106" t="inlineStr">
        <is>
          <t>Display Ads</t>
        </is>
      </c>
      <c r="W7" s="298" t="n">
        <v>0.12</v>
      </c>
      <c r="X7" s="137" t="n">
        <v>9578.84</v>
      </c>
      <c r="Z7" s="136" t="inlineStr">
        <is>
          <t>asianpaints.com</t>
        </is>
      </c>
      <c r="AA7" s="106" t="inlineStr">
        <is>
          <t>Display Ads</t>
        </is>
      </c>
      <c r="AB7" s="298" t="n">
        <v>0.31</v>
      </c>
      <c r="AC7" s="137" t="n">
        <v>10080.54</v>
      </c>
      <c r="AE7" s="136" t="inlineStr">
        <is>
          <t>asianpaints.com</t>
        </is>
      </c>
      <c r="AF7" s="106" t="inlineStr">
        <is>
          <t>Display Ads</t>
        </is>
      </c>
      <c r="AG7" s="298" t="n">
        <v>0.3</v>
      </c>
      <c r="AH7" s="137" t="n">
        <v>11028.06</v>
      </c>
      <c r="AJ7" s="136" t="inlineStr">
        <is>
          <t>asianpaints.com</t>
        </is>
      </c>
      <c r="AK7" s="106" t="inlineStr">
        <is>
          <t>Display Ads</t>
        </is>
      </c>
      <c r="AL7" s="298" t="n">
        <v>0.2</v>
      </c>
      <c r="AM7" s="137" t="n">
        <v>8108.35</v>
      </c>
      <c r="AO7" s="136" t="inlineStr">
        <is>
          <t>asianpaints.com</t>
        </is>
      </c>
      <c r="AP7" s="106" t="inlineStr">
        <is>
          <t>Display Ads</t>
        </is>
      </c>
      <c r="AQ7" s="298" t="n">
        <v>0.37</v>
      </c>
      <c r="AR7" s="137" t="n">
        <v>10678.51</v>
      </c>
      <c r="AT7" s="136" t="inlineStr">
        <is>
          <t>asianpaints.com</t>
        </is>
      </c>
      <c r="AU7" s="106" t="inlineStr">
        <is>
          <t>Display Ads</t>
        </is>
      </c>
      <c r="AV7" s="298" t="n">
        <v>0.5600000000000001</v>
      </c>
      <c r="AW7" s="137" t="n">
        <v>13343.32</v>
      </c>
      <c r="AY7" s="136" t="inlineStr">
        <is>
          <t>asianpaints.com</t>
        </is>
      </c>
      <c r="AZ7" s="106" t="inlineStr">
        <is>
          <t>Display Ads</t>
        </is>
      </c>
      <c r="BA7" s="298" t="n">
        <v>0.65</v>
      </c>
      <c r="BB7" s="137" t="n">
        <v>14381.85</v>
      </c>
      <c r="BD7" s="136" t="inlineStr">
        <is>
          <t>asianpaints.com</t>
        </is>
      </c>
      <c r="BE7" s="106" t="inlineStr">
        <is>
          <t>Display Ads</t>
        </is>
      </c>
      <c r="BF7" s="298" t="n">
        <v>0.75</v>
      </c>
      <c r="BG7" s="137" t="n">
        <v>13842.5</v>
      </c>
      <c r="BI7" s="105" t="inlineStr">
        <is>
          <t>asianpaints.com</t>
        </is>
      </c>
      <c r="BJ7" s="106" t="inlineStr">
        <is>
          <t>Display Ads</t>
        </is>
      </c>
      <c r="BK7" s="298" t="n">
        <v>0.76</v>
      </c>
      <c r="BL7" s="108" t="n">
        <v>184249.19</v>
      </c>
      <c r="BN7" s="105" t="inlineStr">
        <is>
          <t>asianpaints.com</t>
        </is>
      </c>
      <c r="BO7" s="106" t="inlineStr">
        <is>
          <t>Display Ads</t>
        </is>
      </c>
      <c r="BP7" s="298" t="n">
        <v>0.95</v>
      </c>
      <c r="BQ7" s="108" t="n">
        <v>148610.21</v>
      </c>
    </row>
    <row r="8">
      <c r="A8" s="136" t="inlineStr">
        <is>
          <t>birlaopus.com</t>
        </is>
      </c>
      <c r="B8" s="106" t="inlineStr">
        <is>
          <t>Display Ads</t>
        </is>
      </c>
      <c r="C8" s="298" t="n">
        <v>0.01</v>
      </c>
      <c r="D8" s="137" t="n">
        <v>157.13</v>
      </c>
      <c r="F8" s="136" t="inlineStr">
        <is>
          <t>birlaopus.com</t>
        </is>
      </c>
      <c r="G8" s="106" t="inlineStr">
        <is>
          <t>Display Ads</t>
        </is>
      </c>
      <c r="H8" s="298" t="n">
        <v>0.07000000000000001</v>
      </c>
      <c r="I8" s="137" t="n">
        <v>1713.16</v>
      </c>
      <c r="K8" s="136" t="inlineStr">
        <is>
          <t>birlaopus.com</t>
        </is>
      </c>
      <c r="L8" s="106" t="inlineStr">
        <is>
          <t>Display Ads</t>
        </is>
      </c>
      <c r="M8" s="298" t="n">
        <v>0.47</v>
      </c>
      <c r="N8" s="137" t="n">
        <v>19801.07</v>
      </c>
      <c r="P8" s="136" t="inlineStr">
        <is>
          <t>birlaopus.com</t>
        </is>
      </c>
      <c r="Q8" s="106" t="inlineStr">
        <is>
          <t>Display Ads</t>
        </is>
      </c>
      <c r="R8" s="298" t="n">
        <v>0.4</v>
      </c>
      <c r="S8" s="137" t="n">
        <v>12233.04</v>
      </c>
      <c r="U8" s="136" t="inlineStr">
        <is>
          <t>birlaopus.com</t>
        </is>
      </c>
      <c r="V8" s="106" t="inlineStr">
        <is>
          <t>Display Ads</t>
        </is>
      </c>
      <c r="W8" s="298" t="n">
        <v>0.78</v>
      </c>
      <c r="X8" s="137" t="n">
        <v>80714.85000000001</v>
      </c>
      <c r="Z8" s="136" t="inlineStr">
        <is>
          <t>birlaopus.com</t>
        </is>
      </c>
      <c r="AA8" s="106" t="inlineStr">
        <is>
          <t>Display Ads</t>
        </is>
      </c>
      <c r="AB8" s="298" t="n">
        <v>0.54</v>
      </c>
      <c r="AC8" s="137" t="n">
        <v>26007.12</v>
      </c>
      <c r="AE8" s="136" t="inlineStr">
        <is>
          <t>birlaopus.com</t>
        </is>
      </c>
      <c r="AF8" s="106" t="inlineStr">
        <is>
          <t>Display Ads</t>
        </is>
      </c>
      <c r="AG8" s="298" t="n">
        <v>0.53</v>
      </c>
      <c r="AH8" s="137" t="n">
        <v>22450.29</v>
      </c>
      <c r="AJ8" s="136" t="inlineStr">
        <is>
          <t>birlaopus.com</t>
        </is>
      </c>
      <c r="AK8" s="106" t="inlineStr">
        <is>
          <t>Display Ads</t>
        </is>
      </c>
      <c r="AL8" s="298" t="n">
        <v>0.87</v>
      </c>
      <c r="AM8" s="137" t="n">
        <v>38682.18</v>
      </c>
      <c r="AO8" s="136" t="inlineStr">
        <is>
          <t>birlaopus.com</t>
        </is>
      </c>
      <c r="AP8" s="106" t="inlineStr">
        <is>
          <t>Display Ads</t>
        </is>
      </c>
      <c r="AQ8" s="298" t="n">
        <v>0.68</v>
      </c>
      <c r="AR8" s="137" t="n">
        <v>24176.68</v>
      </c>
      <c r="AT8" s="136" t="inlineStr">
        <is>
          <t>birlaopus.com</t>
        </is>
      </c>
      <c r="AU8" s="106" t="inlineStr">
        <is>
          <t>Display Ads</t>
        </is>
      </c>
      <c r="AV8" s="298" t="n">
        <v>0.33</v>
      </c>
      <c r="AW8" s="137" t="n">
        <v>9207.950000000001</v>
      </c>
      <c r="AY8" s="136" t="inlineStr">
        <is>
          <t>birlaopus.com</t>
        </is>
      </c>
      <c r="AZ8" s="106" t="inlineStr">
        <is>
          <t>Display Ads</t>
        </is>
      </c>
      <c r="BA8" s="298" t="n">
        <v>0.21</v>
      </c>
      <c r="BB8" s="137" t="n">
        <v>3772.89</v>
      </c>
      <c r="BD8" s="136" t="inlineStr">
        <is>
          <t>birlaopus.com</t>
        </is>
      </c>
      <c r="BE8" s="106" t="inlineStr">
        <is>
          <t>Display Ads</t>
        </is>
      </c>
      <c r="BF8" s="298" t="n">
        <v>0.15</v>
      </c>
      <c r="BG8" s="137" t="n">
        <v>2661.17</v>
      </c>
      <c r="BI8" s="105" t="inlineStr">
        <is>
          <t>birlaopus.com</t>
        </is>
      </c>
      <c r="BJ8" s="106" t="inlineStr">
        <is>
          <t>Display Ads</t>
        </is>
      </c>
      <c r="BK8" s="298" t="n">
        <v>0.02</v>
      </c>
      <c r="BL8" s="108" t="n">
        <v>4509.88</v>
      </c>
      <c r="BN8" s="105" t="inlineStr">
        <is>
          <t>birlaopus.com</t>
        </is>
      </c>
      <c r="BO8" s="106" t="inlineStr">
        <is>
          <t>Display Ads</t>
        </is>
      </c>
      <c r="BP8" s="298" t="n">
        <v>0.02</v>
      </c>
      <c r="BQ8" s="108" t="n">
        <v>3653.15</v>
      </c>
    </row>
    <row r="9">
      <c r="A9" s="136" t="inlineStr">
        <is>
          <t>bergerpaints.com</t>
        </is>
      </c>
      <c r="B9" s="106" t="inlineStr">
        <is>
          <t>Display Ads</t>
        </is>
      </c>
      <c r="C9" s="298" t="n">
        <v>0.08</v>
      </c>
      <c r="D9" s="137" t="n">
        <v>1303.7</v>
      </c>
      <c r="F9" s="136" t="inlineStr">
        <is>
          <t>bergerpaints.com</t>
        </is>
      </c>
      <c r="G9" s="106" t="inlineStr">
        <is>
          <t>Display Ads</t>
        </is>
      </c>
      <c r="H9" s="298" t="n">
        <v>0.09</v>
      </c>
      <c r="I9" s="137" t="n">
        <v>2068.36</v>
      </c>
      <c r="K9" s="136" t="inlineStr">
        <is>
          <t>bergerpaints.com</t>
        </is>
      </c>
      <c r="L9" s="106" t="inlineStr">
        <is>
          <t>Display Ads</t>
        </is>
      </c>
      <c r="M9" s="298" t="n">
        <v>0.04</v>
      </c>
      <c r="N9" s="137" t="n">
        <v>2075.71</v>
      </c>
      <c r="P9" s="136" t="inlineStr">
        <is>
          <t>bergerpaints.com</t>
        </is>
      </c>
      <c r="Q9" s="106" t="inlineStr">
        <is>
          <t>Display Ads</t>
        </is>
      </c>
      <c r="R9" s="298" t="n">
        <v>0.03</v>
      </c>
      <c r="S9" s="137" t="n">
        <v>961.38</v>
      </c>
      <c r="U9" s="136" t="inlineStr">
        <is>
          <t>bergerpaints.com</t>
        </is>
      </c>
      <c r="V9" s="106" t="inlineStr">
        <is>
          <t>Display Ads</t>
        </is>
      </c>
      <c r="W9" s="298" t="n">
        <v>0.01</v>
      </c>
      <c r="X9" s="137" t="n">
        <v>862.61</v>
      </c>
      <c r="Z9" s="136" t="inlineStr">
        <is>
          <t>bergerpaints.com</t>
        </is>
      </c>
      <c r="AA9" s="106" t="inlineStr">
        <is>
          <t>Display Ads</t>
        </is>
      </c>
      <c r="AB9" s="298" t="n">
        <v>0.04</v>
      </c>
      <c r="AC9" s="137" t="n">
        <v>1579.38</v>
      </c>
      <c r="AE9" s="136" t="inlineStr">
        <is>
          <t>bergerpaints.com</t>
        </is>
      </c>
      <c r="AF9" s="106" t="inlineStr">
        <is>
          <t>Display Ads</t>
        </is>
      </c>
      <c r="AG9" s="298" t="n">
        <v>0.06</v>
      </c>
      <c r="AH9" s="137" t="n">
        <v>2143.63</v>
      </c>
      <c r="AJ9" s="136" t="inlineStr">
        <is>
          <t>bergerpaints.com</t>
        </is>
      </c>
      <c r="AK9" s="106" t="inlineStr">
        <is>
          <t>Display Ads</t>
        </is>
      </c>
      <c r="AL9" s="298" t="n">
        <v>0.02</v>
      </c>
      <c r="AM9" s="137" t="n">
        <v>894.71</v>
      </c>
      <c r="AO9" s="136" t="inlineStr">
        <is>
          <t>bergerpaints.com</t>
        </is>
      </c>
      <c r="AP9" s="106" t="inlineStr">
        <is>
          <t>Display Ads</t>
        </is>
      </c>
      <c r="AQ9" s="298" t="n">
        <v>0.02</v>
      </c>
      <c r="AR9" s="137" t="n">
        <v>833.5599999999999</v>
      </c>
      <c r="AT9" s="136" t="inlineStr">
        <is>
          <t>bergerpaints.com</t>
        </is>
      </c>
      <c r="AU9" s="106" t="inlineStr">
        <is>
          <t>Display Ads</t>
        </is>
      </c>
      <c r="AV9" s="298" t="n">
        <v>0.04</v>
      </c>
      <c r="AW9" s="137" t="n">
        <v>838.8200000000001</v>
      </c>
      <c r="AY9" s="136" t="inlineStr">
        <is>
          <t>bergerpaints.com</t>
        </is>
      </c>
      <c r="AZ9" s="106" t="inlineStr">
        <is>
          <t>Display Ads</t>
        </is>
      </c>
      <c r="BA9" s="298" t="n">
        <v>0.06</v>
      </c>
      <c r="BB9" s="137" t="n">
        <v>1312.02</v>
      </c>
      <c r="BD9" s="136" t="inlineStr">
        <is>
          <t>bergerpaints.com</t>
        </is>
      </c>
      <c r="BE9" s="106" t="inlineStr">
        <is>
          <t>Display Ads</t>
        </is>
      </c>
      <c r="BF9" s="298" t="n">
        <v>0.06</v>
      </c>
      <c r="BG9" s="137" t="n">
        <v>800.88</v>
      </c>
      <c r="BI9" s="105" t="inlineStr">
        <is>
          <t>bergerpaints.com</t>
        </is>
      </c>
      <c r="BJ9" s="106" t="inlineStr">
        <is>
          <t>Display Ads</t>
        </is>
      </c>
      <c r="BK9" s="298" t="n">
        <v>0.07000000000000001</v>
      </c>
      <c r="BL9" s="108" t="n">
        <v>12508.46</v>
      </c>
      <c r="BN9" s="105" t="inlineStr">
        <is>
          <t>bergerpaints.com</t>
        </is>
      </c>
      <c r="BO9" s="106" t="inlineStr">
        <is>
          <t>Display Ads</t>
        </is>
      </c>
      <c r="BP9" s="298" t="n">
        <v>0.04</v>
      </c>
      <c r="BQ9" s="108" t="n">
        <v>8431.43</v>
      </c>
    </row>
    <row r="10">
      <c r="A10" s="136" t="inlineStr">
        <is>
          <t>nerolac.com</t>
        </is>
      </c>
      <c r="B10" s="106" t="inlineStr">
        <is>
          <t>Display Ads</t>
        </is>
      </c>
      <c r="C10" s="298" t="n">
        <v>0.22</v>
      </c>
      <c r="D10" s="137" t="n">
        <v>3359.5</v>
      </c>
      <c r="F10" s="136" t="inlineStr">
        <is>
          <t>nerolac.com</t>
        </is>
      </c>
      <c r="G10" s="106" t="inlineStr">
        <is>
          <t>Display Ads</t>
        </is>
      </c>
      <c r="H10" s="298" t="n">
        <v>0.16</v>
      </c>
      <c r="I10" s="137" t="n">
        <v>3576.56</v>
      </c>
      <c r="K10" s="136" t="inlineStr">
        <is>
          <t>nerolac.com</t>
        </is>
      </c>
      <c r="L10" s="106" t="inlineStr">
        <is>
          <t>Display Ads</t>
        </is>
      </c>
      <c r="M10" s="298" t="n">
        <v>0.07000000000000001</v>
      </c>
      <c r="N10" s="137" t="n">
        <v>2538.73</v>
      </c>
      <c r="P10" s="136" t="inlineStr">
        <is>
          <t>nerolac.com</t>
        </is>
      </c>
      <c r="Q10" s="106" t="inlineStr">
        <is>
          <t>Display Ads</t>
        </is>
      </c>
      <c r="R10" s="298" t="n">
        <v>0.09</v>
      </c>
      <c r="S10" s="137" t="n">
        <v>2739.51</v>
      </c>
      <c r="U10" s="136" t="inlineStr">
        <is>
          <t>nerolac.com</t>
        </is>
      </c>
      <c r="V10" s="106" t="inlineStr">
        <is>
          <t>Display Ads</t>
        </is>
      </c>
      <c r="W10" s="298" t="n">
        <v>0.03</v>
      </c>
      <c r="X10" s="137" t="n">
        <v>2248.18</v>
      </c>
      <c r="Z10" s="136" t="inlineStr">
        <is>
          <t>nerolac.com</t>
        </is>
      </c>
      <c r="AA10" s="106" t="inlineStr">
        <is>
          <t>Display Ads</t>
        </is>
      </c>
      <c r="AB10" s="298" t="n">
        <v>0.04</v>
      </c>
      <c r="AC10" s="137" t="n">
        <v>1708.58</v>
      </c>
      <c r="AE10" s="136" t="inlineStr">
        <is>
          <t>nerolac.com</t>
        </is>
      </c>
      <c r="AF10" s="106" t="inlineStr">
        <is>
          <t>Display Ads</t>
        </is>
      </c>
      <c r="AG10" s="298" t="n">
        <v>0.04</v>
      </c>
      <c r="AH10" s="137" t="n">
        <v>1518.62</v>
      </c>
      <c r="AJ10" s="136" t="inlineStr">
        <is>
          <t>nerolac.com</t>
        </is>
      </c>
      <c r="AK10" s="106" t="inlineStr">
        <is>
          <t>Display Ads</t>
        </is>
      </c>
      <c r="AL10" s="298" t="n">
        <v>0.01</v>
      </c>
      <c r="AM10" s="137" t="n">
        <v>814.1900000000001</v>
      </c>
      <c r="AO10" s="136" t="inlineStr">
        <is>
          <t>nerolac.com</t>
        </is>
      </c>
      <c r="AP10" s="106" t="inlineStr">
        <is>
          <t>Display Ads</t>
        </is>
      </c>
      <c r="AQ10" s="298" t="n">
        <v>0.01</v>
      </c>
      <c r="AR10" s="137" t="n">
        <v>422.67</v>
      </c>
      <c r="AT10" s="136" t="inlineStr">
        <is>
          <t>nerolac.com</t>
        </is>
      </c>
      <c r="AU10" s="106" t="inlineStr">
        <is>
          <t>Display Ads</t>
        </is>
      </c>
      <c r="AV10" s="298" t="n">
        <v>0.02</v>
      </c>
      <c r="AW10" s="137" t="n">
        <v>517.34</v>
      </c>
      <c r="AY10" s="136" t="inlineStr">
        <is>
          <t>nerolac.com</t>
        </is>
      </c>
      <c r="AZ10" s="106" t="inlineStr">
        <is>
          <t>Display Ads</t>
        </is>
      </c>
      <c r="BA10" s="298" t="n">
        <v>0.02</v>
      </c>
      <c r="BB10" s="137" t="n">
        <v>438.16</v>
      </c>
      <c r="BD10" s="136" t="inlineStr">
        <is>
          <t>nerolac.com</t>
        </is>
      </c>
      <c r="BE10" s="106" t="inlineStr">
        <is>
          <t>Display Ads</t>
        </is>
      </c>
      <c r="BF10" s="298" t="n">
        <v>0.05</v>
      </c>
      <c r="BG10" s="137" t="n">
        <v>772.92</v>
      </c>
      <c r="BI10" s="105" t="inlineStr">
        <is>
          <t>nerolac.com</t>
        </is>
      </c>
      <c r="BJ10" s="106" t="inlineStr">
        <is>
          <t>Display Ads</t>
        </is>
      </c>
      <c r="BK10" s="298" t="n">
        <v>0.08</v>
      </c>
      <c r="BL10" s="108" t="n">
        <v>15626.55</v>
      </c>
      <c r="BN10" s="105" t="inlineStr">
        <is>
          <t>nerolac.com</t>
        </is>
      </c>
      <c r="BO10" s="106" t="inlineStr">
        <is>
          <t>Display Ads</t>
        </is>
      </c>
      <c r="BP10" s="298" t="n">
        <v>0.05</v>
      </c>
      <c r="BQ10" s="108" t="n">
        <v>7150.66</v>
      </c>
    </row>
    <row r="11">
      <c r="A11" s="136" t="inlineStr">
        <is>
          <t>asianpaints.com</t>
        </is>
      </c>
      <c r="B11" s="106" t="inlineStr">
        <is>
          <t>Email</t>
        </is>
      </c>
      <c r="C11" s="298" t="n">
        <v>1.02</v>
      </c>
      <c r="D11" s="137" t="n">
        <v>733.2</v>
      </c>
      <c r="F11" s="136" t="inlineStr">
        <is>
          <t>asianpaints.com</t>
        </is>
      </c>
      <c r="G11" s="106" t="inlineStr">
        <is>
          <t>Email</t>
        </is>
      </c>
      <c r="H11" s="298" t="n">
        <v>0.97</v>
      </c>
      <c r="I11" s="137" t="n">
        <v>925.86</v>
      </c>
      <c r="K11" s="136" t="inlineStr">
        <is>
          <t>asianpaints.com</t>
        </is>
      </c>
      <c r="L11" s="106" t="inlineStr">
        <is>
          <t>Email</t>
        </is>
      </c>
      <c r="M11" s="298" t="n">
        <v>0.9</v>
      </c>
      <c r="N11" s="137" t="n">
        <v>777.59</v>
      </c>
      <c r="P11" s="136" t="inlineStr">
        <is>
          <t>asianpaints.com</t>
        </is>
      </c>
      <c r="Q11" s="106" t="inlineStr">
        <is>
          <t>Email</t>
        </is>
      </c>
      <c r="R11" s="298" t="n">
        <v>1.05</v>
      </c>
      <c r="S11" s="137" t="n">
        <v>745.67</v>
      </c>
      <c r="U11" s="136" t="inlineStr">
        <is>
          <t>asianpaints.com</t>
        </is>
      </c>
      <c r="V11" s="106" t="inlineStr">
        <is>
          <t>Email</t>
        </is>
      </c>
      <c r="W11" s="298" t="n">
        <v>0.79</v>
      </c>
      <c r="X11" s="137" t="n">
        <v>661.59</v>
      </c>
      <c r="Z11" s="136" t="inlineStr">
        <is>
          <t>asianpaints.com</t>
        </is>
      </c>
      <c r="AA11" s="106" t="inlineStr">
        <is>
          <t>Email</t>
        </is>
      </c>
      <c r="AB11" s="298" t="n">
        <v>0.78</v>
      </c>
      <c r="AC11" s="137" t="n">
        <v>656.62</v>
      </c>
      <c r="AE11" s="136" t="inlineStr">
        <is>
          <t>asianpaints.com</t>
        </is>
      </c>
      <c r="AF11" s="106" t="inlineStr">
        <is>
          <t>Email</t>
        </is>
      </c>
      <c r="AG11" s="298" t="n">
        <v>0.95</v>
      </c>
      <c r="AH11" s="137" t="n">
        <v>536.78</v>
      </c>
      <c r="AJ11" s="136" t="inlineStr">
        <is>
          <t>asianpaints.com</t>
        </is>
      </c>
      <c r="AK11" s="106" t="inlineStr">
        <is>
          <t>Email</t>
        </is>
      </c>
      <c r="AL11" s="298" t="n">
        <v>0.87</v>
      </c>
      <c r="AM11" s="137" t="n">
        <v>474.76</v>
      </c>
      <c r="AO11" s="136" t="inlineStr">
        <is>
          <t>asianpaints.com</t>
        </is>
      </c>
      <c r="AP11" s="106" t="inlineStr">
        <is>
          <t>Email</t>
        </is>
      </c>
      <c r="AQ11" s="298" t="n">
        <v>0.87</v>
      </c>
      <c r="AR11" s="137" t="n">
        <v>560.9400000000001</v>
      </c>
      <c r="AT11" s="136" t="inlineStr">
        <is>
          <t>asianpaints.com</t>
        </is>
      </c>
      <c r="AU11" s="106" t="inlineStr">
        <is>
          <t>Email</t>
        </is>
      </c>
      <c r="AV11" s="298" t="n">
        <v>0.99</v>
      </c>
      <c r="AW11" s="137" t="n">
        <v>535.29</v>
      </c>
      <c r="AY11" s="136" t="inlineStr">
        <is>
          <t>asianpaints.com</t>
        </is>
      </c>
      <c r="AZ11" s="106" t="inlineStr">
        <is>
          <t>Email</t>
        </is>
      </c>
      <c r="BA11" s="298" t="n">
        <v>0.96</v>
      </c>
      <c r="BB11" s="137" t="n">
        <v>462.31</v>
      </c>
      <c r="BD11" s="136" t="inlineStr">
        <is>
          <t>asianpaints.com</t>
        </is>
      </c>
      <c r="BE11" s="106" t="inlineStr">
        <is>
          <t>Email</t>
        </is>
      </c>
      <c r="BF11" s="298" t="n">
        <v>1.05</v>
      </c>
      <c r="BG11" s="137" t="n">
        <v>561.15</v>
      </c>
      <c r="BI11" s="105" t="inlineStr">
        <is>
          <t>asianpaints.com</t>
        </is>
      </c>
      <c r="BJ11" s="106" t="inlineStr">
        <is>
          <t>Email</t>
        </is>
      </c>
      <c r="BK11" s="298" t="n">
        <v>0.82</v>
      </c>
      <c r="BL11" s="108" t="n">
        <v>58413.67</v>
      </c>
      <c r="BN11" s="105" t="inlineStr">
        <is>
          <t>asianpaints.com</t>
        </is>
      </c>
      <c r="BO11" s="106" t="inlineStr">
        <is>
          <t>Email</t>
        </is>
      </c>
      <c r="BP11" s="298" t="n">
        <v>0.82</v>
      </c>
      <c r="BQ11" s="108" t="n">
        <v>49077.91</v>
      </c>
    </row>
    <row r="12">
      <c r="A12" s="136" t="inlineStr">
        <is>
          <t>birlaopus.com</t>
        </is>
      </c>
      <c r="B12" s="106" t="inlineStr">
        <is>
          <t>Email</t>
        </is>
      </c>
      <c r="C12" s="298" t="n">
        <v>0</v>
      </c>
      <c r="D12" s="137" t="n">
        <v>2.32</v>
      </c>
      <c r="F12" s="136" t="inlineStr">
        <is>
          <t>birlaopus.com</t>
        </is>
      </c>
      <c r="G12" s="106" t="inlineStr">
        <is>
          <t>Email</t>
        </is>
      </c>
      <c r="H12" s="298" t="n">
        <v>0.01</v>
      </c>
      <c r="I12" s="137" t="n">
        <v>4.72</v>
      </c>
      <c r="K12" s="136" t="inlineStr">
        <is>
          <t>birlaopus.com</t>
        </is>
      </c>
      <c r="L12" s="106" t="inlineStr">
        <is>
          <t>Email</t>
        </is>
      </c>
      <c r="M12" s="298" t="n">
        <v>0.02</v>
      </c>
      <c r="N12" s="137" t="n">
        <v>14.55</v>
      </c>
      <c r="P12" s="136" t="inlineStr">
        <is>
          <t>birlaopus.com</t>
        </is>
      </c>
      <c r="Q12" s="106" t="inlineStr">
        <is>
          <t>Email</t>
        </is>
      </c>
      <c r="R12" s="298" t="n">
        <v>0.02</v>
      </c>
      <c r="S12" s="137" t="n">
        <v>17.53</v>
      </c>
      <c r="U12" s="136" t="inlineStr">
        <is>
          <t>birlaopus.com</t>
        </is>
      </c>
      <c r="V12" s="106" t="inlineStr">
        <is>
          <t>Email</t>
        </is>
      </c>
      <c r="W12" s="298" t="n">
        <v>0.08</v>
      </c>
      <c r="X12" s="137" t="n">
        <v>48.07</v>
      </c>
      <c r="Z12" s="136" t="inlineStr">
        <is>
          <t>birlaopus.com</t>
        </is>
      </c>
      <c r="AA12" s="106" t="inlineStr">
        <is>
          <t>Email</t>
        </is>
      </c>
      <c r="AB12" s="298" t="n">
        <v>0.03</v>
      </c>
      <c r="AC12" s="137" t="n">
        <v>16.78</v>
      </c>
      <c r="AE12" s="136" t="inlineStr">
        <is>
          <t>birlaopus.com</t>
        </is>
      </c>
      <c r="AF12" s="106" t="inlineStr">
        <is>
          <t>Email</t>
        </is>
      </c>
      <c r="AG12" s="298" t="n">
        <v>0.01</v>
      </c>
      <c r="AH12" s="137" t="n">
        <v>8.92</v>
      </c>
      <c r="AJ12" s="136" t="inlineStr">
        <is>
          <t>birlaopus.com</t>
        </is>
      </c>
      <c r="AK12" s="106" t="inlineStr">
        <is>
          <t>Email</t>
        </is>
      </c>
      <c r="AL12" s="298" t="n">
        <v>0.02</v>
      </c>
      <c r="AM12" s="137" t="n">
        <v>9.94</v>
      </c>
      <c r="AO12" s="136" t="inlineStr">
        <is>
          <t>birlaopus.com</t>
        </is>
      </c>
      <c r="AP12" s="106" t="inlineStr">
        <is>
          <t>Email</t>
        </is>
      </c>
      <c r="AQ12" s="298" t="n">
        <v>0.02</v>
      </c>
      <c r="AR12" s="137" t="n">
        <v>8.380000000000001</v>
      </c>
      <c r="AT12" s="136" t="inlineStr">
        <is>
          <t>birlaopus.com</t>
        </is>
      </c>
      <c r="AU12" s="106" t="inlineStr">
        <is>
          <t>Email</t>
        </is>
      </c>
      <c r="AV12" s="298" t="n">
        <v>0.01</v>
      </c>
      <c r="AW12" s="137" t="n">
        <v>7.8</v>
      </c>
      <c r="AY12" s="136" t="inlineStr">
        <is>
          <t>birlaopus.com</t>
        </is>
      </c>
      <c r="AZ12" s="106" t="inlineStr">
        <is>
          <t>Email</t>
        </is>
      </c>
      <c r="BA12" s="298" t="n">
        <v>0.01</v>
      </c>
      <c r="BB12" s="137" t="n">
        <v>9.050000000000001</v>
      </c>
      <c r="BD12" s="136" t="inlineStr">
        <is>
          <t>birlaopus.com</t>
        </is>
      </c>
      <c r="BE12" s="106" t="inlineStr">
        <is>
          <t>Email</t>
        </is>
      </c>
      <c r="BF12" s="298" t="n">
        <v>0.02</v>
      </c>
      <c r="BG12" s="137" t="n">
        <v>10.99</v>
      </c>
      <c r="BI12" s="105" t="inlineStr">
        <is>
          <t>birlaopus.com</t>
        </is>
      </c>
      <c r="BJ12" s="106" t="inlineStr">
        <is>
          <t>Email</t>
        </is>
      </c>
      <c r="BK12" s="298" t="n">
        <v>0.02</v>
      </c>
      <c r="BL12" s="108" t="n">
        <v>1361.68</v>
      </c>
      <c r="BN12" s="105" t="inlineStr">
        <is>
          <t>birlaopus.com</t>
        </is>
      </c>
      <c r="BO12" s="106" t="inlineStr">
        <is>
          <t>Email</t>
        </is>
      </c>
      <c r="BP12" s="298" t="n">
        <v>0.08</v>
      </c>
      <c r="BQ12" s="108" t="n">
        <v>6087.08</v>
      </c>
    </row>
    <row r="13">
      <c r="A13" s="136" t="inlineStr">
        <is>
          <t>bergerpaints.com</t>
        </is>
      </c>
      <c r="B13" s="106" t="inlineStr">
        <is>
          <t>Email</t>
        </is>
      </c>
      <c r="C13" s="298" t="n">
        <v>0.05</v>
      </c>
      <c r="D13" s="137" t="n">
        <v>33.48</v>
      </c>
      <c r="F13" s="136" t="inlineStr">
        <is>
          <t>bergerpaints.com</t>
        </is>
      </c>
      <c r="G13" s="106" t="inlineStr">
        <is>
          <t>Email</t>
        </is>
      </c>
      <c r="H13" s="298" t="n">
        <v>0.03</v>
      </c>
      <c r="I13" s="137" t="n">
        <v>38.24</v>
      </c>
      <c r="K13" s="136" t="inlineStr">
        <is>
          <t>bergerpaints.com</t>
        </is>
      </c>
      <c r="L13" s="106" t="inlineStr">
        <is>
          <t>Email</t>
        </is>
      </c>
      <c r="M13" s="298" t="n">
        <v>0.03</v>
      </c>
      <c r="N13" s="137" t="n">
        <v>23.95</v>
      </c>
      <c r="P13" s="136" t="inlineStr">
        <is>
          <t>bergerpaints.com</t>
        </is>
      </c>
      <c r="Q13" s="106" t="inlineStr">
        <is>
          <t>Email</t>
        </is>
      </c>
      <c r="R13" s="298" t="n">
        <v>0.01</v>
      </c>
      <c r="S13" s="137" t="n">
        <v>11.26</v>
      </c>
      <c r="U13" s="136" t="inlineStr">
        <is>
          <t>bergerpaints.com</t>
        </is>
      </c>
      <c r="V13" s="106" t="inlineStr">
        <is>
          <t>Email</t>
        </is>
      </c>
      <c r="W13" s="298" t="n">
        <v>0.03</v>
      </c>
      <c r="X13" s="137" t="n">
        <v>20.68</v>
      </c>
      <c r="Z13" s="136" t="inlineStr">
        <is>
          <t>bergerpaints.com</t>
        </is>
      </c>
      <c r="AA13" s="106" t="inlineStr">
        <is>
          <t>Email</t>
        </is>
      </c>
      <c r="AB13" s="298" t="n">
        <v>0.03</v>
      </c>
      <c r="AC13" s="137" t="n">
        <v>16.85</v>
      </c>
      <c r="AE13" s="136" t="inlineStr">
        <is>
          <t>bergerpaints.com</t>
        </is>
      </c>
      <c r="AF13" s="106" t="inlineStr">
        <is>
          <t>Email</t>
        </is>
      </c>
      <c r="AG13" s="298" t="n">
        <v>0.03</v>
      </c>
      <c r="AH13" s="137" t="n">
        <v>18.06</v>
      </c>
      <c r="AJ13" s="136" t="inlineStr">
        <is>
          <t>bergerpaints.com</t>
        </is>
      </c>
      <c r="AK13" s="106" t="inlineStr">
        <is>
          <t>Email</t>
        </is>
      </c>
      <c r="AL13" s="298" t="n">
        <v>0.03</v>
      </c>
      <c r="AM13" s="137" t="n">
        <v>16.45</v>
      </c>
      <c r="AO13" s="136" t="inlineStr">
        <is>
          <t>bergerpaints.com</t>
        </is>
      </c>
      <c r="AP13" s="106" t="inlineStr">
        <is>
          <t>Email</t>
        </is>
      </c>
      <c r="AQ13" s="298" t="n">
        <v>0.02</v>
      </c>
      <c r="AR13" s="137" t="n">
        <v>10.07</v>
      </c>
      <c r="AT13" s="136" t="inlineStr">
        <is>
          <t>bergerpaints.com</t>
        </is>
      </c>
      <c r="AU13" s="106" t="inlineStr">
        <is>
          <t>Email</t>
        </is>
      </c>
      <c r="AV13" s="298" t="n">
        <v>0.02</v>
      </c>
      <c r="AW13" s="137" t="n">
        <v>11.44</v>
      </c>
      <c r="AY13" s="136" t="inlineStr">
        <is>
          <t>bergerpaints.com</t>
        </is>
      </c>
      <c r="AZ13" s="106" t="inlineStr">
        <is>
          <t>Email</t>
        </is>
      </c>
      <c r="BA13" s="298" t="n">
        <v>0.02</v>
      </c>
      <c r="BB13" s="137" t="n">
        <v>11.34</v>
      </c>
      <c r="BD13" s="136" t="inlineStr">
        <is>
          <t>bergerpaints.com</t>
        </is>
      </c>
      <c r="BE13" s="106" t="inlineStr">
        <is>
          <t>Email</t>
        </is>
      </c>
      <c r="BF13" s="298" t="n">
        <v>0.02</v>
      </c>
      <c r="BG13" s="137" t="n">
        <v>11.26</v>
      </c>
      <c r="BI13" s="105" t="inlineStr">
        <is>
          <t>bergerpaints.com</t>
        </is>
      </c>
      <c r="BJ13" s="106" t="inlineStr">
        <is>
          <t>Email</t>
        </is>
      </c>
      <c r="BK13" s="298" t="n">
        <v>0.1</v>
      </c>
      <c r="BL13" s="108" t="n">
        <v>6512.08</v>
      </c>
      <c r="BN13" s="105" t="inlineStr">
        <is>
          <t>bergerpaints.com</t>
        </is>
      </c>
      <c r="BO13" s="106" t="inlineStr">
        <is>
          <t>Email</t>
        </is>
      </c>
      <c r="BP13" s="298" t="n">
        <v>0.08</v>
      </c>
      <c r="BQ13" s="108" t="n">
        <v>5442.77</v>
      </c>
    </row>
    <row r="14">
      <c r="A14" s="136" t="inlineStr">
        <is>
          <t>nerolac.com</t>
        </is>
      </c>
      <c r="B14" s="106" t="inlineStr">
        <is>
          <t>Email</t>
        </is>
      </c>
      <c r="C14" s="298" t="n">
        <v>0.03</v>
      </c>
      <c r="D14" s="137" t="n">
        <v>21.21</v>
      </c>
      <c r="F14" s="136" t="inlineStr">
        <is>
          <t>nerolac.com</t>
        </is>
      </c>
      <c r="G14" s="106" t="inlineStr">
        <is>
          <t>Email</t>
        </is>
      </c>
      <c r="H14" s="298" t="n">
        <v>0.05</v>
      </c>
      <c r="I14" s="137" t="n">
        <v>47.28</v>
      </c>
      <c r="K14" s="136" t="inlineStr">
        <is>
          <t>nerolac.com</t>
        </is>
      </c>
      <c r="L14" s="106" t="inlineStr">
        <is>
          <t>Email</t>
        </is>
      </c>
      <c r="M14" s="298" t="n">
        <v>0.03</v>
      </c>
      <c r="N14" s="137" t="n">
        <v>21.48</v>
      </c>
      <c r="P14" s="136" t="inlineStr">
        <is>
          <t>nerolac.com</t>
        </is>
      </c>
      <c r="Q14" s="106" t="inlineStr">
        <is>
          <t>Email</t>
        </is>
      </c>
      <c r="R14" s="298" t="n">
        <v>0.03</v>
      </c>
      <c r="S14" s="137" t="n">
        <v>21.34</v>
      </c>
      <c r="U14" s="136" t="inlineStr">
        <is>
          <t>nerolac.com</t>
        </is>
      </c>
      <c r="V14" s="106" t="inlineStr">
        <is>
          <t>Email</t>
        </is>
      </c>
      <c r="W14" s="298" t="n">
        <v>0.02</v>
      </c>
      <c r="X14" s="137" t="n">
        <v>21.13</v>
      </c>
      <c r="Z14" s="136" t="inlineStr">
        <is>
          <t>nerolac.com</t>
        </is>
      </c>
      <c r="AA14" s="106" t="inlineStr">
        <is>
          <t>Email</t>
        </is>
      </c>
      <c r="AB14" s="298" t="n">
        <v>0.03</v>
      </c>
      <c r="AC14" s="137" t="n">
        <v>21.95</v>
      </c>
      <c r="AE14" s="136" t="inlineStr">
        <is>
          <t>nerolac.com</t>
        </is>
      </c>
      <c r="AF14" s="106" t="inlineStr">
        <is>
          <t>Email</t>
        </is>
      </c>
      <c r="AG14" s="298" t="n">
        <v>0.06</v>
      </c>
      <c r="AH14" s="137" t="n">
        <v>30.84</v>
      </c>
      <c r="AJ14" s="136" t="inlineStr">
        <is>
          <t>nerolac.com</t>
        </is>
      </c>
      <c r="AK14" s="106" t="inlineStr">
        <is>
          <t>Email</t>
        </is>
      </c>
      <c r="AL14" s="298" t="n">
        <v>0.03</v>
      </c>
      <c r="AM14" s="137" t="n">
        <v>17.97</v>
      </c>
      <c r="AO14" s="136" t="inlineStr">
        <is>
          <t>nerolac.com</t>
        </is>
      </c>
      <c r="AP14" s="106" t="inlineStr">
        <is>
          <t>Email</t>
        </is>
      </c>
      <c r="AQ14" s="298" t="n">
        <v>0.02</v>
      </c>
      <c r="AR14" s="137" t="n">
        <v>12.14</v>
      </c>
      <c r="AT14" s="136" t="inlineStr">
        <is>
          <t>nerolac.com</t>
        </is>
      </c>
      <c r="AU14" s="106" t="inlineStr">
        <is>
          <t>Email</t>
        </is>
      </c>
      <c r="AV14" s="298" t="n">
        <v>0.02</v>
      </c>
      <c r="AW14" s="137" t="n">
        <v>9.460000000000001</v>
      </c>
      <c r="AY14" s="136" t="inlineStr">
        <is>
          <t>nerolac.com</t>
        </is>
      </c>
      <c r="AZ14" s="106" t="inlineStr">
        <is>
          <t>Email</t>
        </is>
      </c>
      <c r="BA14" s="298" t="n">
        <v>0.02</v>
      </c>
      <c r="BB14" s="137" t="n">
        <v>7.96</v>
      </c>
      <c r="BD14" s="136" t="inlineStr">
        <is>
          <t>nerolac.com</t>
        </is>
      </c>
      <c r="BE14" s="106" t="inlineStr">
        <is>
          <t>Email</t>
        </is>
      </c>
      <c r="BF14" s="298" t="n">
        <v>0.03</v>
      </c>
      <c r="BG14" s="137" t="n">
        <v>13.83</v>
      </c>
      <c r="BI14" s="105" t="inlineStr">
        <is>
          <t>nerolac.com</t>
        </is>
      </c>
      <c r="BJ14" s="106" t="inlineStr">
        <is>
          <t>Email</t>
        </is>
      </c>
      <c r="BK14" s="298" t="n">
        <v>0</v>
      </c>
      <c r="BL14" s="108" t="n">
        <v>0</v>
      </c>
      <c r="BN14" s="105" t="inlineStr">
        <is>
          <t>nerolac.com</t>
        </is>
      </c>
      <c r="BO14" s="106" t="inlineStr">
        <is>
          <t>Email</t>
        </is>
      </c>
      <c r="BP14" s="298" t="n">
        <v>0</v>
      </c>
      <c r="BQ14" s="108" t="n">
        <v>1</v>
      </c>
    </row>
    <row r="15">
      <c r="A15" s="136" t="inlineStr">
        <is>
          <t>asianpaints.com</t>
        </is>
      </c>
      <c r="B15" s="106" t="inlineStr">
        <is>
          <t>Organic Search</t>
        </is>
      </c>
      <c r="C15" s="298" t="n">
        <v>0.72</v>
      </c>
      <c r="D15" s="137" t="n">
        <v>1581395.65</v>
      </c>
      <c r="F15" s="136" t="inlineStr">
        <is>
          <t>asianpaints.com</t>
        </is>
      </c>
      <c r="G15" s="106" t="inlineStr">
        <is>
          <t>Organic Search</t>
        </is>
      </c>
      <c r="H15" s="298" t="n">
        <v>0.73</v>
      </c>
      <c r="I15" s="137" t="n">
        <v>1668284.51</v>
      </c>
      <c r="K15" s="136" t="inlineStr">
        <is>
          <t>asianpaints.com</t>
        </is>
      </c>
      <c r="L15" s="106" t="inlineStr">
        <is>
          <t>Organic Search</t>
        </is>
      </c>
      <c r="M15" s="298" t="n">
        <v>0.8</v>
      </c>
      <c r="N15" s="137" t="n">
        <v>1443417.19</v>
      </c>
      <c r="P15" s="136" t="inlineStr">
        <is>
          <t>asianpaints.com</t>
        </is>
      </c>
      <c r="Q15" s="106" t="inlineStr">
        <is>
          <t>Organic Search</t>
        </is>
      </c>
      <c r="R15" s="298" t="n">
        <v>0.77</v>
      </c>
      <c r="S15" s="137" t="n">
        <v>1398370.87</v>
      </c>
      <c r="U15" s="136" t="inlineStr">
        <is>
          <t>asianpaints.com</t>
        </is>
      </c>
      <c r="V15" s="106" t="inlineStr">
        <is>
          <t>Organic Search</t>
        </is>
      </c>
      <c r="W15" s="298" t="n">
        <v>0.85</v>
      </c>
      <c r="X15" s="137" t="n">
        <v>1602077.45</v>
      </c>
      <c r="Z15" s="136" t="inlineStr">
        <is>
          <t>asianpaints.com</t>
        </is>
      </c>
      <c r="AA15" s="106" t="inlineStr">
        <is>
          <t>Organic Search</t>
        </is>
      </c>
      <c r="AB15" s="298" t="n">
        <v>0.77</v>
      </c>
      <c r="AC15" s="137" t="n">
        <v>1734186.65</v>
      </c>
      <c r="AE15" s="136" t="inlineStr">
        <is>
          <t>asianpaints.com</t>
        </is>
      </c>
      <c r="AF15" s="106" t="inlineStr">
        <is>
          <t>Organic Search</t>
        </is>
      </c>
      <c r="AG15" s="298" t="n">
        <v>0.82</v>
      </c>
      <c r="AH15" s="137" t="n">
        <v>2125485.37</v>
      </c>
      <c r="AJ15" s="136" t="inlineStr">
        <is>
          <t>asianpaints.com</t>
        </is>
      </c>
      <c r="AK15" s="106" t="inlineStr">
        <is>
          <t>Organic Search</t>
        </is>
      </c>
      <c r="AL15" s="298" t="n">
        <v>0.88</v>
      </c>
      <c r="AM15" s="137" t="n">
        <v>1584471.78</v>
      </c>
      <c r="AO15" s="136" t="inlineStr">
        <is>
          <t>asianpaints.com</t>
        </is>
      </c>
      <c r="AP15" s="106" t="inlineStr">
        <is>
          <t>Organic Search</t>
        </is>
      </c>
      <c r="AQ15" s="298" t="n">
        <v>0.77</v>
      </c>
      <c r="AR15" s="137" t="n">
        <v>1812347.15</v>
      </c>
      <c r="AT15" s="136" t="inlineStr">
        <is>
          <t>asianpaints.com</t>
        </is>
      </c>
      <c r="AU15" s="106" t="inlineStr">
        <is>
          <t>Organic Search</t>
        </is>
      </c>
      <c r="AV15" s="298" t="n">
        <v>0.92</v>
      </c>
      <c r="AW15" s="137" t="n">
        <v>1872825.55</v>
      </c>
      <c r="AY15" s="136" t="inlineStr">
        <is>
          <t>asianpaints.com</t>
        </is>
      </c>
      <c r="AZ15" s="106" t="inlineStr">
        <is>
          <t>Organic Search</t>
        </is>
      </c>
      <c r="BA15" s="298" t="n">
        <v>0.73</v>
      </c>
      <c r="BB15" s="137" t="n">
        <v>1926360.85</v>
      </c>
      <c r="BD15" s="136" t="inlineStr">
        <is>
          <t>asianpaints.com</t>
        </is>
      </c>
      <c r="BE15" s="106" t="inlineStr">
        <is>
          <t>Organic Search</t>
        </is>
      </c>
      <c r="BF15" s="298" t="n">
        <v>0.72</v>
      </c>
      <c r="BG15" s="137" t="n">
        <v>1690811.62</v>
      </c>
      <c r="BI15" s="105" t="inlineStr">
        <is>
          <t>asianpaints.com</t>
        </is>
      </c>
      <c r="BJ15" s="106" t="inlineStr">
        <is>
          <t>Organic Search</t>
        </is>
      </c>
      <c r="BK15" s="298" t="n">
        <v>0.66</v>
      </c>
      <c r="BL15" s="108" t="n">
        <v>1573432.29</v>
      </c>
      <c r="BN15" s="105" t="inlineStr">
        <is>
          <t>asianpaints.com</t>
        </is>
      </c>
      <c r="BO15" s="106" t="inlineStr">
        <is>
          <t>Organic Search</t>
        </is>
      </c>
      <c r="BP15" s="298" t="n">
        <v>0.74</v>
      </c>
      <c r="BQ15" s="108" t="n">
        <v>1833361.11</v>
      </c>
    </row>
    <row r="16">
      <c r="A16" s="136" t="inlineStr">
        <is>
          <t>birlaopus.com</t>
        </is>
      </c>
      <c r="B16" s="106" t="inlineStr">
        <is>
          <t>Organic Search</t>
        </is>
      </c>
      <c r="C16" s="298" t="n">
        <v>0.03</v>
      </c>
      <c r="D16" s="137" t="n">
        <v>74517.14999999999</v>
      </c>
      <c r="F16" s="136" t="inlineStr">
        <is>
          <t>birlaopus.com</t>
        </is>
      </c>
      <c r="G16" s="106" t="inlineStr">
        <is>
          <t>Organic Search</t>
        </is>
      </c>
      <c r="H16" s="298" t="n">
        <v>0.01</v>
      </c>
      <c r="I16" s="137" t="n">
        <v>30175.26</v>
      </c>
      <c r="K16" s="136" t="inlineStr">
        <is>
          <t>birlaopus.com</t>
        </is>
      </c>
      <c r="L16" s="106" t="inlineStr">
        <is>
          <t>Organic Search</t>
        </is>
      </c>
      <c r="M16" s="298" t="n">
        <v>0.02</v>
      </c>
      <c r="N16" s="137" t="n">
        <v>53766.99</v>
      </c>
      <c r="P16" s="136" t="inlineStr">
        <is>
          <t>birlaopus.com</t>
        </is>
      </c>
      <c r="Q16" s="106" t="inlineStr">
        <is>
          <t>Organic Search</t>
        </is>
      </c>
      <c r="R16" s="298" t="n">
        <v>0.01</v>
      </c>
      <c r="S16" s="137" t="n">
        <v>27919.04</v>
      </c>
      <c r="U16" s="136" t="inlineStr">
        <is>
          <t>birlaopus.com</t>
        </is>
      </c>
      <c r="V16" s="106" t="inlineStr">
        <is>
          <t>Organic Search</t>
        </is>
      </c>
      <c r="W16" s="298" t="n">
        <v>0.03</v>
      </c>
      <c r="X16" s="137" t="n">
        <v>70774.16</v>
      </c>
      <c r="Z16" s="136" t="inlineStr">
        <is>
          <t>birlaopus.com</t>
        </is>
      </c>
      <c r="AA16" s="106" t="inlineStr">
        <is>
          <t>Organic Search</t>
        </is>
      </c>
      <c r="AB16" s="298" t="n">
        <v>0.01</v>
      </c>
      <c r="AC16" s="137" t="n">
        <v>44467.36</v>
      </c>
      <c r="AE16" s="136" t="inlineStr">
        <is>
          <t>birlaopus.com</t>
        </is>
      </c>
      <c r="AF16" s="106" t="inlineStr">
        <is>
          <t>Organic Search</t>
        </is>
      </c>
      <c r="AG16" s="298" t="n">
        <v>0.02</v>
      </c>
      <c r="AH16" s="137" t="n">
        <v>74161.87</v>
      </c>
      <c r="AJ16" s="132" t="inlineStr">
        <is>
          <t>birlaopus.com</t>
        </is>
      </c>
      <c r="AK16" s="133" t="inlineStr">
        <is>
          <t>Organic Search</t>
        </is>
      </c>
      <c r="AL16" s="296" t="n">
        <v>0.06</v>
      </c>
      <c r="AM16" s="135" t="n">
        <v>166917.27</v>
      </c>
      <c r="AO16" s="132" t="inlineStr">
        <is>
          <t>birlaopus.com</t>
        </is>
      </c>
      <c r="AP16" s="133" t="inlineStr">
        <is>
          <t>Organic Search</t>
        </is>
      </c>
      <c r="AQ16" s="296" t="n">
        <v>0.05</v>
      </c>
      <c r="AR16" s="140" t="n">
        <v>99294.48</v>
      </c>
      <c r="AT16" s="132" t="inlineStr">
        <is>
          <t>birlaopus.com</t>
        </is>
      </c>
      <c r="AU16" s="133" t="inlineStr">
        <is>
          <t>Organic Search</t>
        </is>
      </c>
      <c r="AV16" s="296" t="n">
        <v>0.04</v>
      </c>
      <c r="AW16" s="140" t="n">
        <v>113927.68</v>
      </c>
      <c r="AY16" s="132" t="inlineStr">
        <is>
          <t>birlaopus.com</t>
        </is>
      </c>
      <c r="AZ16" s="133" t="inlineStr">
        <is>
          <t>Organic Search</t>
        </is>
      </c>
      <c r="BA16" s="296" t="n">
        <v>0.04</v>
      </c>
      <c r="BB16" s="140" t="n">
        <v>91505.42999999999</v>
      </c>
      <c r="BD16" s="132" t="inlineStr">
        <is>
          <t>birlaopus.com</t>
        </is>
      </c>
      <c r="BE16" s="133" t="inlineStr">
        <is>
          <t>Organic Search</t>
        </is>
      </c>
      <c r="BF16" s="296" t="n">
        <v>0.07000000000000001</v>
      </c>
      <c r="BG16" s="140" t="n">
        <v>163422.45</v>
      </c>
      <c r="BI16" s="110" t="inlineStr">
        <is>
          <t>birlaopus.com</t>
        </is>
      </c>
      <c r="BJ16" s="111" t="inlineStr">
        <is>
          <t>Organic Search</t>
        </is>
      </c>
      <c r="BK16" s="298" t="n">
        <v>0.17</v>
      </c>
      <c r="BL16" s="108" t="n">
        <v>375704.23</v>
      </c>
      <c r="BN16" s="110" t="inlineStr">
        <is>
          <t>birlaopus.com</t>
        </is>
      </c>
      <c r="BO16" s="111" t="inlineStr">
        <is>
          <t>Organic Search</t>
        </is>
      </c>
      <c r="BP16" s="298" t="n">
        <v>0.15</v>
      </c>
      <c r="BQ16" s="108" t="n">
        <v>371727.46</v>
      </c>
    </row>
    <row r="17">
      <c r="A17" s="136" t="inlineStr">
        <is>
          <t>bergerpaints.com</t>
        </is>
      </c>
      <c r="B17" s="106" t="inlineStr">
        <is>
          <t>Organic Search</t>
        </is>
      </c>
      <c r="C17" s="298" t="n">
        <v>0.12</v>
      </c>
      <c r="D17" s="137" t="n">
        <v>272773.42</v>
      </c>
      <c r="F17" s="136" t="inlineStr">
        <is>
          <t>bergerpaints.com</t>
        </is>
      </c>
      <c r="G17" s="106" t="inlineStr">
        <is>
          <t>Organic Search</t>
        </is>
      </c>
      <c r="H17" s="298" t="n">
        <v>0.1</v>
      </c>
      <c r="I17" s="137" t="n">
        <v>266729.49</v>
      </c>
      <c r="K17" s="136" t="inlineStr">
        <is>
          <t>bergerpaints.com</t>
        </is>
      </c>
      <c r="L17" s="106" t="inlineStr">
        <is>
          <t>Organic Search</t>
        </is>
      </c>
      <c r="M17" s="298" t="n">
        <v>0.1</v>
      </c>
      <c r="N17" s="137" t="n">
        <v>254021.89</v>
      </c>
      <c r="P17" s="136" t="inlineStr">
        <is>
          <t>bergerpaints.com</t>
        </is>
      </c>
      <c r="Q17" s="106" t="inlineStr">
        <is>
          <t>Organic Search</t>
        </is>
      </c>
      <c r="R17" s="298" t="n">
        <v>0.08</v>
      </c>
      <c r="S17" s="137" t="n">
        <v>156118.89</v>
      </c>
      <c r="U17" s="136" t="inlineStr">
        <is>
          <t>bergerpaints.com</t>
        </is>
      </c>
      <c r="V17" s="106" t="inlineStr">
        <is>
          <t>Organic Search</t>
        </is>
      </c>
      <c r="W17" s="298" t="n">
        <v>0.07000000000000001</v>
      </c>
      <c r="X17" s="137" t="n">
        <v>203507.44</v>
      </c>
      <c r="Z17" s="136" t="inlineStr">
        <is>
          <t>bergerpaints.com</t>
        </is>
      </c>
      <c r="AA17" s="106" t="inlineStr">
        <is>
          <t>Organic Search</t>
        </is>
      </c>
      <c r="AB17" s="298" t="n">
        <v>0.06</v>
      </c>
      <c r="AC17" s="137" t="n">
        <v>161984.38</v>
      </c>
      <c r="AE17" s="136" t="inlineStr">
        <is>
          <t>bergerpaints.com</t>
        </is>
      </c>
      <c r="AF17" s="106" t="inlineStr">
        <is>
          <t>Organic Search</t>
        </is>
      </c>
      <c r="AG17" s="298" t="n">
        <v>0.09</v>
      </c>
      <c r="AH17" s="137" t="n">
        <v>285416.74</v>
      </c>
      <c r="AJ17" s="136" t="inlineStr">
        <is>
          <t>bergerpaints.com</t>
        </is>
      </c>
      <c r="AK17" s="106" t="inlineStr">
        <is>
          <t>Organic Search</t>
        </is>
      </c>
      <c r="AL17" s="298" t="n">
        <v>0.09</v>
      </c>
      <c r="AM17" s="137" t="n">
        <v>189206.35</v>
      </c>
      <c r="AO17" s="136" t="inlineStr">
        <is>
          <t>bergerpaints.com</t>
        </is>
      </c>
      <c r="AP17" s="106" t="inlineStr">
        <is>
          <t>Organic Search</t>
        </is>
      </c>
      <c r="AQ17" s="298" t="n">
        <v>0.06</v>
      </c>
      <c r="AR17" s="137" t="n">
        <v>148839.42</v>
      </c>
      <c r="AT17" s="136" t="inlineStr">
        <is>
          <t>bergerpaints.com</t>
        </is>
      </c>
      <c r="AU17" s="106" t="inlineStr">
        <is>
          <t>Organic Search</t>
        </is>
      </c>
      <c r="AV17" s="298" t="n">
        <v>0.06</v>
      </c>
      <c r="AW17" s="137" t="n">
        <v>133093.36</v>
      </c>
      <c r="AY17" s="136" t="inlineStr">
        <is>
          <t>bergerpaints.com</t>
        </is>
      </c>
      <c r="AZ17" s="106" t="inlineStr">
        <is>
          <t>Organic Search</t>
        </is>
      </c>
      <c r="BA17" s="298" t="n">
        <v>0.1</v>
      </c>
      <c r="BB17" s="137" t="n">
        <v>204394.03</v>
      </c>
      <c r="BD17" s="136" t="inlineStr">
        <is>
          <t>bergerpaints.com</t>
        </is>
      </c>
      <c r="BE17" s="106" t="inlineStr">
        <is>
          <t>Organic Search</t>
        </is>
      </c>
      <c r="BF17" s="298" t="n">
        <v>0.07000000000000001</v>
      </c>
      <c r="BG17" s="137" t="n">
        <v>183814.49</v>
      </c>
      <c r="BI17" s="105" t="inlineStr">
        <is>
          <t>bergerpaints.com</t>
        </is>
      </c>
      <c r="BJ17" s="106" t="inlineStr">
        <is>
          <t>Organic Search</t>
        </is>
      </c>
      <c r="BK17" s="298" t="n">
        <v>0.09</v>
      </c>
      <c r="BL17" s="108" t="n">
        <v>203670.48</v>
      </c>
      <c r="BN17" s="105" t="inlineStr">
        <is>
          <t>bergerpaints.com</t>
        </is>
      </c>
      <c r="BO17" s="106" t="inlineStr">
        <is>
          <t>Organic Search</t>
        </is>
      </c>
      <c r="BP17" s="298" t="n">
        <v>0.07000000000000001</v>
      </c>
      <c r="BQ17" s="108" t="n">
        <v>212852.09</v>
      </c>
    </row>
    <row r="18">
      <c r="A18" s="136" t="inlineStr">
        <is>
          <t>nerolac.com</t>
        </is>
      </c>
      <c r="B18" s="106" t="inlineStr">
        <is>
          <t>Organic Search</t>
        </is>
      </c>
      <c r="C18" s="298" t="n">
        <v>0.19</v>
      </c>
      <c r="D18" s="137" t="n">
        <v>399595.34</v>
      </c>
      <c r="F18" s="136" t="inlineStr">
        <is>
          <t>nerolac.com</t>
        </is>
      </c>
      <c r="G18" s="106" t="inlineStr">
        <is>
          <t>Organic Search</t>
        </is>
      </c>
      <c r="H18" s="298" t="n">
        <v>0.18</v>
      </c>
      <c r="I18" s="137" t="n">
        <v>416859.66</v>
      </c>
      <c r="K18" s="136" t="inlineStr">
        <is>
          <t>nerolac.com</t>
        </is>
      </c>
      <c r="L18" s="106" t="inlineStr">
        <is>
          <t>Organic Search</t>
        </is>
      </c>
      <c r="M18" s="298" t="n">
        <v>0.13</v>
      </c>
      <c r="N18" s="137" t="n">
        <v>307934.35</v>
      </c>
      <c r="P18" s="136" t="inlineStr">
        <is>
          <t>nerolac.com</t>
        </is>
      </c>
      <c r="Q18" s="106" t="inlineStr">
        <is>
          <t>Organic Search</t>
        </is>
      </c>
      <c r="R18" s="298" t="n">
        <v>0.13</v>
      </c>
      <c r="S18" s="137" t="n">
        <v>294665.28</v>
      </c>
      <c r="U18" s="136" t="inlineStr">
        <is>
          <t>nerolac.com</t>
        </is>
      </c>
      <c r="V18" s="106" t="inlineStr">
        <is>
          <t>Organic Search</t>
        </is>
      </c>
      <c r="W18" s="298" t="n">
        <v>0.13</v>
      </c>
      <c r="X18" s="137" t="n">
        <v>358089.36</v>
      </c>
      <c r="Z18" s="136" t="inlineStr">
        <is>
          <t>nerolac.com</t>
        </is>
      </c>
      <c r="AA18" s="106" t="inlineStr">
        <is>
          <t>Organic Search</t>
        </is>
      </c>
      <c r="AB18" s="298" t="n">
        <v>0.11</v>
      </c>
      <c r="AC18" s="137" t="n">
        <v>271399.71</v>
      </c>
      <c r="AE18" s="136" t="inlineStr">
        <is>
          <t>nerolac.com</t>
        </is>
      </c>
      <c r="AF18" s="106" t="inlineStr">
        <is>
          <t>Organic Search</t>
        </is>
      </c>
      <c r="AG18" s="298" t="n">
        <v>0.11</v>
      </c>
      <c r="AH18" s="137" t="n">
        <v>348461.81</v>
      </c>
      <c r="AJ18" s="138" t="inlineStr">
        <is>
          <t>nerolac.com</t>
        </is>
      </c>
      <c r="AK18" s="5" t="inlineStr">
        <is>
          <t>Organic Search</t>
        </is>
      </c>
      <c r="AL18" s="299" t="n">
        <v>0.09</v>
      </c>
      <c r="AM18" s="139" t="n">
        <v>210014.86</v>
      </c>
      <c r="AO18" s="138" t="inlineStr">
        <is>
          <t>nerolac.com</t>
        </is>
      </c>
      <c r="AP18" s="5" t="inlineStr">
        <is>
          <t>Organic Search</t>
        </is>
      </c>
      <c r="AQ18" s="299" t="n">
        <v>0.06</v>
      </c>
      <c r="AR18" s="139" t="n">
        <v>150050.21</v>
      </c>
      <c r="AT18" s="138" t="inlineStr">
        <is>
          <t>nerolac.com</t>
        </is>
      </c>
      <c r="AU18" s="5" t="inlineStr">
        <is>
          <t>Organic Search</t>
        </is>
      </c>
      <c r="AV18" s="299" t="n">
        <v>0.06</v>
      </c>
      <c r="AW18" s="139" t="n">
        <v>167979.52</v>
      </c>
      <c r="AY18" s="138" t="inlineStr">
        <is>
          <t>nerolac.com</t>
        </is>
      </c>
      <c r="AZ18" s="5" t="inlineStr">
        <is>
          <t>Organic Search</t>
        </is>
      </c>
      <c r="BA18" s="299" t="n">
        <v>0.07000000000000001</v>
      </c>
      <c r="BB18" s="139" t="n">
        <v>154973.45</v>
      </c>
      <c r="BD18" s="138" t="inlineStr">
        <is>
          <t>nerolac.com</t>
        </is>
      </c>
      <c r="BE18" s="5" t="inlineStr">
        <is>
          <t>Organic Search</t>
        </is>
      </c>
      <c r="BF18" s="299" t="n">
        <v>0.1</v>
      </c>
      <c r="BG18" s="139" t="n">
        <v>262281.92</v>
      </c>
      <c r="BI18" s="109" t="inlineStr">
        <is>
          <t>nerolac.com</t>
        </is>
      </c>
      <c r="BJ18" s="5" t="inlineStr">
        <is>
          <t>Organic Search</t>
        </is>
      </c>
      <c r="BK18" s="298" t="n">
        <v>0.07000000000000001</v>
      </c>
      <c r="BL18" s="108" t="n">
        <v>136705.11</v>
      </c>
      <c r="BN18" s="109" t="inlineStr">
        <is>
          <t>nerolac.com</t>
        </is>
      </c>
      <c r="BO18" s="5" t="inlineStr">
        <is>
          <t>Organic Search</t>
        </is>
      </c>
      <c r="BP18" s="298" t="n">
        <v>0.06</v>
      </c>
      <c r="BQ18" s="108" t="n">
        <v>150763.39</v>
      </c>
    </row>
    <row r="19">
      <c r="A19" s="136" t="inlineStr">
        <is>
          <t>asianpaints.com</t>
        </is>
      </c>
      <c r="B19" s="106" t="inlineStr">
        <is>
          <t>Paid Search</t>
        </is>
      </c>
      <c r="C19" s="298" t="n">
        <v>0.52</v>
      </c>
      <c r="D19" s="137" t="n">
        <v>294960.36</v>
      </c>
      <c r="F19" s="136" t="inlineStr">
        <is>
          <t>asianpaints.com</t>
        </is>
      </c>
      <c r="G19" s="106" t="inlineStr">
        <is>
          <t>Paid Search</t>
        </is>
      </c>
      <c r="H19" s="298" t="n">
        <v>0.49</v>
      </c>
      <c r="I19" s="137" t="n">
        <v>328908.37</v>
      </c>
      <c r="K19" s="136" t="inlineStr">
        <is>
          <t>asianpaints.com</t>
        </is>
      </c>
      <c r="L19" s="106" t="inlineStr">
        <is>
          <t>Paid Search</t>
        </is>
      </c>
      <c r="M19" s="298" t="n">
        <v>0.34</v>
      </c>
      <c r="N19" s="137" t="n">
        <v>343523.16</v>
      </c>
      <c r="P19" s="136" t="inlineStr">
        <is>
          <t>asianpaints.com</t>
        </is>
      </c>
      <c r="Q19" s="106" t="inlineStr">
        <is>
          <t>Paid Search</t>
        </is>
      </c>
      <c r="R19" s="298" t="n">
        <v>0.65</v>
      </c>
      <c r="S19" s="137" t="n">
        <v>406494.56</v>
      </c>
      <c r="U19" s="136" t="inlineStr">
        <is>
          <t>asianpaints.com</t>
        </is>
      </c>
      <c r="V19" s="106" t="inlineStr">
        <is>
          <t>Paid Search</t>
        </is>
      </c>
      <c r="W19" s="298" t="n">
        <v>0.7</v>
      </c>
      <c r="X19" s="137" t="n">
        <v>425097.53</v>
      </c>
      <c r="Z19" s="136" t="inlineStr">
        <is>
          <t>asianpaints.com</t>
        </is>
      </c>
      <c r="AA19" s="106" t="inlineStr">
        <is>
          <t>Paid Search</t>
        </is>
      </c>
      <c r="AB19" s="298" t="n">
        <v>0.84</v>
      </c>
      <c r="AC19" s="137" t="n">
        <v>531857.58</v>
      </c>
      <c r="AE19" s="136" t="inlineStr">
        <is>
          <t>asianpaints.com</t>
        </is>
      </c>
      <c r="AF19" s="106" t="inlineStr">
        <is>
          <t>Paid Search</t>
        </is>
      </c>
      <c r="AG19" s="298" t="n">
        <v>0.67</v>
      </c>
      <c r="AH19" s="137" t="n">
        <v>642335.66</v>
      </c>
      <c r="AJ19" s="136" t="inlineStr">
        <is>
          <t>asianpaints.com</t>
        </is>
      </c>
      <c r="AK19" s="106" t="inlineStr">
        <is>
          <t>Paid Search</t>
        </is>
      </c>
      <c r="AL19" s="298" t="n">
        <v>0.51</v>
      </c>
      <c r="AM19" s="137" t="n">
        <v>395226.04</v>
      </c>
      <c r="AO19" s="136" t="inlineStr">
        <is>
          <t>asianpaints.com</t>
        </is>
      </c>
      <c r="AP19" s="106" t="inlineStr">
        <is>
          <t>Paid Search</t>
        </is>
      </c>
      <c r="AQ19" s="298" t="n">
        <v>0.58</v>
      </c>
      <c r="AR19" s="137" t="n">
        <v>455074.78</v>
      </c>
      <c r="AT19" s="136" t="inlineStr">
        <is>
          <t>asianpaints.com</t>
        </is>
      </c>
      <c r="AU19" s="106" t="inlineStr">
        <is>
          <t>Paid Search</t>
        </is>
      </c>
      <c r="AV19" s="298" t="n">
        <v>0.55</v>
      </c>
      <c r="AW19" s="137" t="n">
        <v>345896.31</v>
      </c>
      <c r="AY19" s="136" t="inlineStr">
        <is>
          <t>asianpaints.com</t>
        </is>
      </c>
      <c r="AZ19" s="106" t="inlineStr">
        <is>
          <t>Paid Search</t>
        </is>
      </c>
      <c r="BA19" s="298" t="n">
        <v>0.64</v>
      </c>
      <c r="BB19" s="137" t="n">
        <v>281603.94</v>
      </c>
      <c r="BD19" s="136" t="inlineStr">
        <is>
          <t>asianpaints.com</t>
        </is>
      </c>
      <c r="BE19" s="106" t="inlineStr">
        <is>
          <t>Paid Search</t>
        </is>
      </c>
      <c r="BF19" s="298" t="n">
        <v>0.52</v>
      </c>
      <c r="BG19" s="137" t="n">
        <v>404311.85</v>
      </c>
      <c r="BI19" s="105" t="inlineStr">
        <is>
          <t>asianpaints.com</t>
        </is>
      </c>
      <c r="BJ19" s="106" t="inlineStr">
        <is>
          <t>Paid Search</t>
        </is>
      </c>
      <c r="BK19" s="298" t="n">
        <v>0.59</v>
      </c>
      <c r="BL19" s="108" t="n">
        <v>133971.74</v>
      </c>
      <c r="BN19" s="105" t="inlineStr">
        <is>
          <t>asianpaints.com</t>
        </is>
      </c>
      <c r="BO19" s="106" t="inlineStr">
        <is>
          <t>Paid Search</t>
        </is>
      </c>
      <c r="BP19" s="298" t="n">
        <v>0.63</v>
      </c>
      <c r="BQ19" s="108" t="n">
        <v>146700.67</v>
      </c>
    </row>
    <row r="20">
      <c r="A20" s="136" t="inlineStr">
        <is>
          <t>birlaopus.com</t>
        </is>
      </c>
      <c r="B20" s="106" t="inlineStr">
        <is>
          <t>Paid Search</t>
        </is>
      </c>
      <c r="C20" s="298" t="n">
        <v>0.32</v>
      </c>
      <c r="D20" s="137" t="n">
        <v>196740.61</v>
      </c>
      <c r="F20" s="136" t="inlineStr">
        <is>
          <t>birlaopus.com</t>
        </is>
      </c>
      <c r="G20" s="106" t="inlineStr">
        <is>
          <t>Paid Search</t>
        </is>
      </c>
      <c r="H20" s="298" t="n">
        <v>0.3</v>
      </c>
      <c r="I20" s="137" t="n">
        <v>199294.05</v>
      </c>
      <c r="K20" s="136" t="inlineStr">
        <is>
          <t>birlaopus.com</t>
        </is>
      </c>
      <c r="L20" s="106" t="inlineStr">
        <is>
          <t>Paid Search</t>
        </is>
      </c>
      <c r="M20" s="298" t="n">
        <v>0.64</v>
      </c>
      <c r="N20" s="137" t="n">
        <v>565722.67</v>
      </c>
      <c r="P20" s="136" t="inlineStr">
        <is>
          <t>birlaopus.com</t>
        </is>
      </c>
      <c r="Q20" s="106" t="inlineStr">
        <is>
          <t>Paid Search</t>
        </is>
      </c>
      <c r="R20" s="298" t="n">
        <v>0.18</v>
      </c>
      <c r="S20" s="137" t="n">
        <v>118113.07</v>
      </c>
      <c r="U20" s="136" t="inlineStr">
        <is>
          <t>birlaopus.com</t>
        </is>
      </c>
      <c r="V20" s="106" t="inlineStr">
        <is>
          <t>Paid Search</t>
        </is>
      </c>
      <c r="W20" s="298" t="n">
        <v>0.25</v>
      </c>
      <c r="X20" s="137" t="n">
        <v>136185.94</v>
      </c>
      <c r="Z20" s="136" t="inlineStr">
        <is>
          <t>birlaopus.com</t>
        </is>
      </c>
      <c r="AA20" s="106" t="inlineStr">
        <is>
          <t>Paid Search</t>
        </is>
      </c>
      <c r="AB20" s="298" t="n">
        <v>0.07000000000000001</v>
      </c>
      <c r="AC20" s="137" t="n">
        <v>38106.42</v>
      </c>
      <c r="AE20" s="136" t="inlineStr">
        <is>
          <t>birlaopus.com</t>
        </is>
      </c>
      <c r="AF20" s="106" t="inlineStr">
        <is>
          <t>Paid Search</t>
        </is>
      </c>
      <c r="AG20" s="298" t="n">
        <v>0.12</v>
      </c>
      <c r="AH20" s="137" t="n">
        <v>113204.29</v>
      </c>
      <c r="AJ20" s="136" t="inlineStr">
        <is>
          <t>birlaopus.com</t>
        </is>
      </c>
      <c r="AK20" s="106" t="inlineStr">
        <is>
          <t>Paid Search</t>
        </is>
      </c>
      <c r="AL20" s="298" t="n">
        <v>0.42</v>
      </c>
      <c r="AM20" s="137" t="n">
        <v>333419.43</v>
      </c>
      <c r="AO20" s="136" t="inlineStr">
        <is>
          <t>birlaopus.com</t>
        </is>
      </c>
      <c r="AP20" s="106" t="inlineStr">
        <is>
          <t>Paid Search</t>
        </is>
      </c>
      <c r="AQ20" s="298" t="n">
        <v>0.47</v>
      </c>
      <c r="AR20" s="137" t="n">
        <v>336590.56</v>
      </c>
      <c r="AT20" s="136" t="inlineStr">
        <is>
          <t>birlaopus.com</t>
        </is>
      </c>
      <c r="AU20" s="106" t="inlineStr">
        <is>
          <t>Paid Search</t>
        </is>
      </c>
      <c r="AV20" s="298" t="n">
        <v>0.44</v>
      </c>
      <c r="AW20" s="137" t="n">
        <v>248108.05</v>
      </c>
      <c r="AY20" s="136" t="inlineStr">
        <is>
          <t>birlaopus.com</t>
        </is>
      </c>
      <c r="AZ20" s="106" t="inlineStr">
        <is>
          <t>Paid Search</t>
        </is>
      </c>
      <c r="BA20" s="298" t="n">
        <v>0.34</v>
      </c>
      <c r="BB20" s="137" t="n">
        <v>173213.15</v>
      </c>
      <c r="BD20" s="136" t="inlineStr">
        <is>
          <t>birlaopus.com</t>
        </is>
      </c>
      <c r="BE20" s="106" t="inlineStr">
        <is>
          <t>Paid Search</t>
        </is>
      </c>
      <c r="BF20" s="298" t="n">
        <v>0.39</v>
      </c>
      <c r="BG20" s="137" t="n">
        <v>250175.04</v>
      </c>
      <c r="BI20" s="105" t="inlineStr">
        <is>
          <t>birlaopus.com</t>
        </is>
      </c>
      <c r="BJ20" s="106" t="inlineStr">
        <is>
          <t>Paid Search</t>
        </is>
      </c>
      <c r="BK20" s="298" t="n">
        <v>0.08</v>
      </c>
      <c r="BL20" s="108" t="n">
        <v>16780.81</v>
      </c>
      <c r="BN20" s="105" t="inlineStr">
        <is>
          <t>birlaopus.com</t>
        </is>
      </c>
      <c r="BO20" s="106" t="inlineStr">
        <is>
          <t>Paid Search</t>
        </is>
      </c>
      <c r="BP20" s="298" t="n">
        <v>0.19</v>
      </c>
      <c r="BQ20" s="108" t="n">
        <v>54678.1</v>
      </c>
    </row>
    <row r="21">
      <c r="A21" s="136" t="inlineStr">
        <is>
          <t>bergerpaints.com</t>
        </is>
      </c>
      <c r="B21" s="106" t="inlineStr">
        <is>
          <t>Paid Search</t>
        </is>
      </c>
      <c r="C21" s="298" t="n">
        <v>0.09</v>
      </c>
      <c r="D21" s="137" t="n">
        <v>55844.46</v>
      </c>
      <c r="F21" s="136" t="inlineStr">
        <is>
          <t>bergerpaints.com</t>
        </is>
      </c>
      <c r="G21" s="106" t="inlineStr">
        <is>
          <t>Paid Search</t>
        </is>
      </c>
      <c r="H21" s="298" t="n">
        <v>0.09</v>
      </c>
      <c r="I21" s="137" t="n">
        <v>56367.8</v>
      </c>
      <c r="K21" s="136" t="inlineStr">
        <is>
          <t>bergerpaints.com</t>
        </is>
      </c>
      <c r="L21" s="106" t="inlineStr">
        <is>
          <t>Paid Search</t>
        </is>
      </c>
      <c r="M21" s="298" t="n">
        <v>0.05</v>
      </c>
      <c r="N21" s="137" t="n">
        <v>59534.74</v>
      </c>
      <c r="P21" s="136" t="inlineStr">
        <is>
          <t>bergerpaints.com</t>
        </is>
      </c>
      <c r="Q21" s="106" t="inlineStr">
        <is>
          <t>Paid Search</t>
        </is>
      </c>
      <c r="R21" s="298" t="n">
        <v>0.05</v>
      </c>
      <c r="S21" s="137" t="n">
        <v>32032.51</v>
      </c>
      <c r="U21" s="136" t="inlineStr">
        <is>
          <t>bergerpaints.com</t>
        </is>
      </c>
      <c r="V21" s="106" t="inlineStr">
        <is>
          <t>Paid Search</t>
        </is>
      </c>
      <c r="W21" s="298" t="n">
        <v>0.06</v>
      </c>
      <c r="X21" s="137" t="n">
        <v>28219.85</v>
      </c>
      <c r="Z21" s="136" t="inlineStr">
        <is>
          <t>bergerpaints.com</t>
        </is>
      </c>
      <c r="AA21" s="106" t="inlineStr">
        <is>
          <t>Paid Search</t>
        </is>
      </c>
      <c r="AB21" s="298" t="n">
        <v>0.06</v>
      </c>
      <c r="AC21" s="137" t="n">
        <v>45655.43</v>
      </c>
      <c r="AE21" s="136" t="inlineStr">
        <is>
          <t>bergerpaints.com</t>
        </is>
      </c>
      <c r="AF21" s="106" t="inlineStr">
        <is>
          <t>Paid Search</t>
        </is>
      </c>
      <c r="AG21" s="298" t="n">
        <v>0.07000000000000001</v>
      </c>
      <c r="AH21" s="137" t="n">
        <v>47627.9</v>
      </c>
      <c r="AJ21" s="136" t="inlineStr">
        <is>
          <t>bergerpaints.com</t>
        </is>
      </c>
      <c r="AK21" s="106" t="inlineStr">
        <is>
          <t>Paid Search</t>
        </is>
      </c>
      <c r="AL21" s="298" t="n">
        <v>0.05</v>
      </c>
      <c r="AM21" s="137" t="n">
        <v>41456.94</v>
      </c>
      <c r="AO21" s="136" t="inlineStr">
        <is>
          <t>bergerpaints.com</t>
        </is>
      </c>
      <c r="AP21" s="106" t="inlineStr">
        <is>
          <t>Paid Search</t>
        </is>
      </c>
      <c r="AQ21" s="298" t="n">
        <v>0.03</v>
      </c>
      <c r="AR21" s="137" t="n">
        <v>26911.92</v>
      </c>
      <c r="AT21" s="136" t="inlineStr">
        <is>
          <t>bergerpaints.com</t>
        </is>
      </c>
      <c r="AU21" s="106" t="inlineStr">
        <is>
          <t>Paid Search</t>
        </is>
      </c>
      <c r="AV21" s="298" t="n">
        <v>0.04</v>
      </c>
      <c r="AW21" s="137" t="n">
        <v>25493.84</v>
      </c>
      <c r="AY21" s="136" t="inlineStr">
        <is>
          <t>bergerpaints.com</t>
        </is>
      </c>
      <c r="AZ21" s="106" t="inlineStr">
        <is>
          <t>Paid Search</t>
        </is>
      </c>
      <c r="BA21" s="298" t="n">
        <v>0.06</v>
      </c>
      <c r="BB21" s="137" t="n">
        <v>30991.14</v>
      </c>
      <c r="BD21" s="136" t="inlineStr">
        <is>
          <t>bergerpaints.com</t>
        </is>
      </c>
      <c r="BE21" s="106" t="inlineStr">
        <is>
          <t>Paid Search</t>
        </is>
      </c>
      <c r="BF21" s="298" t="n">
        <v>0.04</v>
      </c>
      <c r="BG21" s="137" t="n">
        <v>30604.67</v>
      </c>
      <c r="BI21" s="105" t="inlineStr">
        <is>
          <t>bergerpaints.com</t>
        </is>
      </c>
      <c r="BJ21" s="106" t="inlineStr">
        <is>
          <t>Paid Search</t>
        </is>
      </c>
      <c r="BK21" s="298" t="n">
        <v>0.2</v>
      </c>
      <c r="BL21" s="108" t="n">
        <v>45980.47</v>
      </c>
      <c r="BN21" s="105" t="inlineStr">
        <is>
          <t>bergerpaints.com</t>
        </is>
      </c>
      <c r="BO21" s="106" t="inlineStr">
        <is>
          <t>Paid Search</t>
        </is>
      </c>
      <c r="BP21" s="298" t="n">
        <v>0.18</v>
      </c>
      <c r="BQ21" s="108" t="n">
        <v>38965.81</v>
      </c>
    </row>
    <row r="22">
      <c r="A22" s="136" t="inlineStr">
        <is>
          <t>nerolac.com</t>
        </is>
      </c>
      <c r="B22" s="106" t="inlineStr">
        <is>
          <t>Paid Search</t>
        </is>
      </c>
      <c r="C22" s="298" t="n">
        <v>0.02</v>
      </c>
      <c r="D22" s="137" t="n">
        <v>12353.27</v>
      </c>
      <c r="F22" s="136" t="inlineStr">
        <is>
          <t>nerolac.com</t>
        </is>
      </c>
      <c r="G22" s="106" t="inlineStr">
        <is>
          <t>Paid Search</t>
        </is>
      </c>
      <c r="H22" s="298" t="n">
        <v>0.02</v>
      </c>
      <c r="I22" s="137" t="n">
        <v>12363.16</v>
      </c>
      <c r="K22" s="136" t="inlineStr">
        <is>
          <t>nerolac.com</t>
        </is>
      </c>
      <c r="L22" s="106" t="inlineStr">
        <is>
          <t>Paid Search</t>
        </is>
      </c>
      <c r="M22" s="298" t="n">
        <v>0</v>
      </c>
      <c r="N22" s="137" t="n">
        <v>5279.62</v>
      </c>
      <c r="P22" s="136" t="inlineStr">
        <is>
          <t>nerolac.com</t>
        </is>
      </c>
      <c r="Q22" s="106" t="inlineStr">
        <is>
          <t>Paid Search</t>
        </is>
      </c>
      <c r="R22" s="298" t="n">
        <v>0.01</v>
      </c>
      <c r="S22" s="137" t="n">
        <v>5305.73</v>
      </c>
      <c r="U22" s="136" t="inlineStr">
        <is>
          <t>nerolac.com</t>
        </is>
      </c>
      <c r="V22" s="106" t="inlineStr">
        <is>
          <t>Paid Search</t>
        </is>
      </c>
      <c r="W22" s="298" t="n">
        <v>0.01</v>
      </c>
      <c r="X22" s="137" t="n">
        <v>6287.36</v>
      </c>
      <c r="Z22" s="136" t="inlineStr">
        <is>
          <t>nerolac.com</t>
        </is>
      </c>
      <c r="AA22" s="106" t="inlineStr">
        <is>
          <t>Paid Search</t>
        </is>
      </c>
      <c r="AB22" s="298" t="n">
        <v>0.02</v>
      </c>
      <c r="AC22" s="137" t="n">
        <v>12363.77</v>
      </c>
      <c r="AE22" s="136" t="inlineStr">
        <is>
          <t>nerolac.com</t>
        </is>
      </c>
      <c r="AF22" s="106" t="inlineStr">
        <is>
          <t>Paid Search</t>
        </is>
      </c>
      <c r="AG22" s="298" t="n">
        <v>0.01</v>
      </c>
      <c r="AH22" s="137" t="n">
        <v>8594.17</v>
      </c>
      <c r="AJ22" s="132" t="inlineStr">
        <is>
          <t>nerolac.com</t>
        </is>
      </c>
      <c r="AK22" s="133" t="inlineStr">
        <is>
          <t>Paid Search</t>
        </is>
      </c>
      <c r="AL22" s="296" t="n">
        <v>0.01</v>
      </c>
      <c r="AM22" s="135" t="n">
        <v>6418.31</v>
      </c>
      <c r="AO22" s="132" t="inlineStr">
        <is>
          <t>nerolac.com</t>
        </is>
      </c>
      <c r="AP22" s="133" t="inlineStr">
        <is>
          <t>Paid Search</t>
        </is>
      </c>
      <c r="AQ22" s="296" t="n">
        <v>0.01</v>
      </c>
      <c r="AR22" s="135" t="n">
        <v>4042.19</v>
      </c>
      <c r="AT22" s="132" t="inlineStr">
        <is>
          <t>nerolac.com</t>
        </is>
      </c>
      <c r="AU22" s="133" t="inlineStr">
        <is>
          <t>Paid Search</t>
        </is>
      </c>
      <c r="AV22" s="296" t="n">
        <v>0.01</v>
      </c>
      <c r="AW22" s="135" t="n">
        <v>3775.28</v>
      </c>
      <c r="AY22" s="132" t="inlineStr">
        <is>
          <t>nerolac.com</t>
        </is>
      </c>
      <c r="AZ22" s="133" t="inlineStr">
        <is>
          <t>Paid Search</t>
        </is>
      </c>
      <c r="BA22" s="296" t="n">
        <v>0.01</v>
      </c>
      <c r="BB22" s="135" t="n">
        <v>5237.62</v>
      </c>
      <c r="BD22" s="132" t="inlineStr">
        <is>
          <t>nerolac.com</t>
        </is>
      </c>
      <c r="BE22" s="133" t="inlineStr">
        <is>
          <t>Paid Search</t>
        </is>
      </c>
      <c r="BF22" s="296" t="n">
        <v>0.02</v>
      </c>
      <c r="BG22" s="135" t="n">
        <v>13120.68</v>
      </c>
      <c r="BI22" s="110" t="inlineStr">
        <is>
          <t>nerolac.com</t>
        </is>
      </c>
      <c r="BJ22" s="111" t="inlineStr">
        <is>
          <t>Paid Search</t>
        </is>
      </c>
      <c r="BK22" s="300" t="n">
        <v>0.11</v>
      </c>
      <c r="BL22" s="113" t="n">
        <v>25171.88</v>
      </c>
      <c r="BN22" s="110" t="inlineStr">
        <is>
          <t>nerolac.com</t>
        </is>
      </c>
      <c r="BO22" s="111" t="inlineStr">
        <is>
          <t>Paid Search</t>
        </is>
      </c>
      <c r="BP22" s="298" t="n">
        <v>0.07000000000000001</v>
      </c>
      <c r="BQ22" s="108" t="n">
        <v>19052.04</v>
      </c>
    </row>
    <row r="23">
      <c r="A23" s="136" t="inlineStr">
        <is>
          <t>asianpaints.com</t>
        </is>
      </c>
      <c r="B23" s="106" t="inlineStr">
        <is>
          <t>Referrals</t>
        </is>
      </c>
      <c r="C23" s="298" t="n">
        <v>0.93</v>
      </c>
      <c r="D23" s="137" t="n">
        <v>114053.65</v>
      </c>
      <c r="F23" s="136" t="inlineStr">
        <is>
          <t>asianpaints.com</t>
        </is>
      </c>
      <c r="G23" s="106" t="inlineStr">
        <is>
          <t>Referrals</t>
        </is>
      </c>
      <c r="H23" s="298" t="n">
        <v>0.74</v>
      </c>
      <c r="I23" s="137" t="n">
        <v>100761.23</v>
      </c>
      <c r="K23" s="136" t="inlineStr">
        <is>
          <t>asianpaints.com</t>
        </is>
      </c>
      <c r="L23" s="106" t="inlineStr">
        <is>
          <t>Referrals</t>
        </is>
      </c>
      <c r="M23" s="298" t="n">
        <v>0.78</v>
      </c>
      <c r="N23" s="137" t="n">
        <v>96515.50999999999</v>
      </c>
      <c r="P23" s="136" t="inlineStr">
        <is>
          <t>asianpaints.com</t>
        </is>
      </c>
      <c r="Q23" s="106" t="inlineStr">
        <is>
          <t>Referrals</t>
        </is>
      </c>
      <c r="R23" s="298" t="n">
        <v>0.8100000000000001</v>
      </c>
      <c r="S23" s="137" t="n">
        <v>101395.9</v>
      </c>
      <c r="U23" s="136" t="inlineStr">
        <is>
          <t>asianpaints.com</t>
        </is>
      </c>
      <c r="V23" s="106" t="inlineStr">
        <is>
          <t>Referrals</t>
        </is>
      </c>
      <c r="W23" s="298" t="n">
        <v>0.5600000000000001</v>
      </c>
      <c r="X23" s="137" t="n">
        <v>102315.7</v>
      </c>
      <c r="Z23" s="136" t="inlineStr">
        <is>
          <t>asianpaints.com</t>
        </is>
      </c>
      <c r="AA23" s="106" t="inlineStr">
        <is>
          <t>Referrals</t>
        </is>
      </c>
      <c r="AB23" s="298" t="n">
        <v>0.7</v>
      </c>
      <c r="AC23" s="137" t="n">
        <v>93987.89999999999</v>
      </c>
      <c r="AE23" s="136" t="inlineStr">
        <is>
          <t>asianpaints.com</t>
        </is>
      </c>
      <c r="AF23" s="106" t="inlineStr">
        <is>
          <t>Referrals</t>
        </is>
      </c>
      <c r="AG23" s="298" t="n">
        <v>0.92</v>
      </c>
      <c r="AH23" s="137" t="n">
        <v>128642.35</v>
      </c>
      <c r="AJ23" s="136" t="inlineStr">
        <is>
          <t>asianpaints.com</t>
        </is>
      </c>
      <c r="AK23" s="106" t="inlineStr">
        <is>
          <t>Referrals</t>
        </is>
      </c>
      <c r="AL23" s="298" t="n">
        <v>0.63</v>
      </c>
      <c r="AM23" s="137" t="n">
        <v>97228.82000000001</v>
      </c>
      <c r="AO23" s="136" t="inlineStr">
        <is>
          <t>asianpaints.com</t>
        </is>
      </c>
      <c r="AP23" s="106" t="inlineStr">
        <is>
          <t>Referrals</t>
        </is>
      </c>
      <c r="AQ23" s="298" t="n">
        <v>0.79</v>
      </c>
      <c r="AR23" s="137" t="n">
        <v>96108.75</v>
      </c>
      <c r="AT23" s="136" t="inlineStr">
        <is>
          <t>asianpaints.com</t>
        </is>
      </c>
      <c r="AU23" s="106" t="inlineStr">
        <is>
          <t>Referrals</t>
        </is>
      </c>
      <c r="AV23" s="298" t="n">
        <v>0.95</v>
      </c>
      <c r="AW23" s="137" t="n">
        <v>129427.29</v>
      </c>
      <c r="AY23" s="136" t="inlineStr">
        <is>
          <t>asianpaints.com</t>
        </is>
      </c>
      <c r="AZ23" s="106" t="inlineStr">
        <is>
          <t>Referrals</t>
        </is>
      </c>
      <c r="BA23" s="298" t="n">
        <v>0.91</v>
      </c>
      <c r="BB23" s="137" t="n">
        <v>96201.77</v>
      </c>
      <c r="BD23" s="136" t="inlineStr">
        <is>
          <t>asianpaints.com</t>
        </is>
      </c>
      <c r="BE23" s="106" t="inlineStr">
        <is>
          <t>Referrals</t>
        </is>
      </c>
      <c r="BF23" s="298" t="n">
        <v>0.74</v>
      </c>
      <c r="BG23" s="137" t="n">
        <v>96409.86</v>
      </c>
      <c r="BI23" s="105" t="inlineStr">
        <is>
          <t>asianpaints.com</t>
        </is>
      </c>
      <c r="BJ23" s="106" t="inlineStr">
        <is>
          <t>Referrals</t>
        </is>
      </c>
      <c r="BK23" s="298" t="n">
        <v>0.9</v>
      </c>
      <c r="BL23" s="108" t="n">
        <v>190089.16</v>
      </c>
      <c r="BN23" s="105" t="inlineStr">
        <is>
          <t>asianpaints.com</t>
        </is>
      </c>
      <c r="BO23" s="106" t="inlineStr">
        <is>
          <t>Referrals</t>
        </is>
      </c>
      <c r="BP23" s="298" t="n">
        <v>0.96</v>
      </c>
      <c r="BQ23" s="108" t="n">
        <v>169203.33</v>
      </c>
    </row>
    <row r="24">
      <c r="A24" s="136" t="inlineStr">
        <is>
          <t>birlaopus.com</t>
        </is>
      </c>
      <c r="B24" s="106" t="inlineStr">
        <is>
          <t>Referrals</t>
        </is>
      </c>
      <c r="C24" s="298" t="n">
        <v>0.04</v>
      </c>
      <c r="D24" s="137" t="n">
        <v>7134.92</v>
      </c>
      <c r="F24" s="136" t="inlineStr">
        <is>
          <t>birlaopus.com</t>
        </is>
      </c>
      <c r="G24" s="106" t="inlineStr">
        <is>
          <t>Referrals</t>
        </is>
      </c>
      <c r="H24" s="298" t="n">
        <v>0.05</v>
      </c>
      <c r="I24" s="137" t="n">
        <v>7046.47</v>
      </c>
      <c r="K24" s="136" t="inlineStr">
        <is>
          <t>birlaopus.com</t>
        </is>
      </c>
      <c r="L24" s="106" t="inlineStr">
        <is>
          <t>Referrals</t>
        </is>
      </c>
      <c r="M24" s="298" t="n">
        <v>0.19</v>
      </c>
      <c r="N24" s="137" t="n">
        <v>25304.8</v>
      </c>
      <c r="P24" s="136" t="inlineStr">
        <is>
          <t>birlaopus.com</t>
        </is>
      </c>
      <c r="Q24" s="106" t="inlineStr">
        <is>
          <t>Referrals</t>
        </is>
      </c>
      <c r="R24" s="298" t="n">
        <v>0.09</v>
      </c>
      <c r="S24" s="137" t="n">
        <v>9665.040000000001</v>
      </c>
      <c r="U24" s="136" t="inlineStr">
        <is>
          <t>birlaopus.com</t>
        </is>
      </c>
      <c r="V24" s="106" t="inlineStr">
        <is>
          <t>Referrals</t>
        </is>
      </c>
      <c r="W24" s="298" t="n">
        <v>0.3</v>
      </c>
      <c r="X24" s="137" t="n">
        <v>57198.35</v>
      </c>
      <c r="Z24" s="136" t="inlineStr">
        <is>
          <t>birlaopus.com</t>
        </is>
      </c>
      <c r="AA24" s="106" t="inlineStr">
        <is>
          <t>Referrals</t>
        </is>
      </c>
      <c r="AB24" s="298" t="n">
        <v>0.15</v>
      </c>
      <c r="AC24" s="137" t="n">
        <v>17113.38</v>
      </c>
      <c r="AE24" s="136" t="inlineStr">
        <is>
          <t>birlaopus.com</t>
        </is>
      </c>
      <c r="AF24" s="106" t="inlineStr">
        <is>
          <t>Referrals</t>
        </is>
      </c>
      <c r="AG24" s="298" t="n">
        <v>0.12</v>
      </c>
      <c r="AH24" s="137" t="n">
        <v>17730.5</v>
      </c>
      <c r="AJ24" s="136" t="inlineStr">
        <is>
          <t>birlaopus.com</t>
        </is>
      </c>
      <c r="AK24" s="106" t="inlineStr">
        <is>
          <t>Referrals</t>
        </is>
      </c>
      <c r="AL24" s="298" t="n">
        <v>0.32</v>
      </c>
      <c r="AM24" s="137" t="n">
        <v>37925.68</v>
      </c>
      <c r="AO24" s="138" t="inlineStr">
        <is>
          <t>birlaopus.com</t>
        </is>
      </c>
      <c r="AP24" s="5" t="inlineStr">
        <is>
          <t>Referrals</t>
        </is>
      </c>
      <c r="AQ24" s="299" t="n">
        <v>0.19</v>
      </c>
      <c r="AR24" s="139" t="n">
        <v>26257.67</v>
      </c>
      <c r="AT24" s="138" t="inlineStr">
        <is>
          <t>birlaopus.com</t>
        </is>
      </c>
      <c r="AU24" s="5" t="inlineStr">
        <is>
          <t>Referrals</t>
        </is>
      </c>
      <c r="AV24" s="299" t="n">
        <v>0.12</v>
      </c>
      <c r="AW24" s="139" t="n">
        <v>17358.2</v>
      </c>
      <c r="AY24" s="138" t="inlineStr">
        <is>
          <t>birlaopus.com</t>
        </is>
      </c>
      <c r="AZ24" s="5" t="inlineStr">
        <is>
          <t>Referrals</t>
        </is>
      </c>
      <c r="BA24" s="299" t="n">
        <v>0.12</v>
      </c>
      <c r="BB24" s="139" t="n">
        <v>11661.16</v>
      </c>
      <c r="BD24" s="138" t="inlineStr">
        <is>
          <t>birlaopus.com</t>
        </is>
      </c>
      <c r="BE24" s="5" t="inlineStr">
        <is>
          <t>Referrals</t>
        </is>
      </c>
      <c r="BF24" s="299" t="n">
        <v>0.11</v>
      </c>
      <c r="BG24" s="139" t="n">
        <v>14106.72</v>
      </c>
      <c r="BI24" s="109" t="inlineStr">
        <is>
          <t>birlaopus.com</t>
        </is>
      </c>
      <c r="BJ24" s="5" t="inlineStr">
        <is>
          <t>Referrals</t>
        </is>
      </c>
      <c r="BK24" s="298" t="n">
        <v>0.07000000000000001</v>
      </c>
      <c r="BL24" s="108" t="n">
        <v>13940.95</v>
      </c>
      <c r="BN24" s="109" t="inlineStr">
        <is>
          <t>birlaopus.com</t>
        </is>
      </c>
      <c r="BO24" s="5" t="inlineStr">
        <is>
          <t>Referrals</t>
        </is>
      </c>
      <c r="BP24" s="298" t="n">
        <v>0.07000000000000001</v>
      </c>
      <c r="BQ24" s="108" t="n">
        <v>13618.24</v>
      </c>
    </row>
    <row r="25">
      <c r="A25" s="136" t="inlineStr">
        <is>
          <t>bergerpaints.com</t>
        </is>
      </c>
      <c r="B25" s="106" t="inlineStr">
        <is>
          <t>Referrals</t>
        </is>
      </c>
      <c r="C25" s="298" t="n">
        <v>0.04</v>
      </c>
      <c r="D25" s="137" t="n">
        <v>5830.81</v>
      </c>
      <c r="F25" s="136" t="inlineStr">
        <is>
          <t>bergerpaints.com</t>
        </is>
      </c>
      <c r="G25" s="106" t="inlineStr">
        <is>
          <t>Referrals</t>
        </is>
      </c>
      <c r="H25" s="298" t="n">
        <v>0.03</v>
      </c>
      <c r="I25" s="137" t="n">
        <v>4702.42</v>
      </c>
      <c r="K25" s="136" t="inlineStr">
        <is>
          <t>bergerpaints.com</t>
        </is>
      </c>
      <c r="L25" s="106" t="inlineStr">
        <is>
          <t>Referrals</t>
        </is>
      </c>
      <c r="M25" s="298" t="n">
        <v>0.03</v>
      </c>
      <c r="N25" s="137" t="n">
        <v>3731.87</v>
      </c>
      <c r="P25" s="136" t="inlineStr">
        <is>
          <t>bergerpaints.com</t>
        </is>
      </c>
      <c r="Q25" s="106" t="inlineStr">
        <is>
          <t>Referrals</t>
        </is>
      </c>
      <c r="R25" s="298" t="n">
        <v>0.02</v>
      </c>
      <c r="S25" s="137" t="n">
        <v>1872.38</v>
      </c>
      <c r="U25" s="136" t="inlineStr">
        <is>
          <t>bergerpaints.com</t>
        </is>
      </c>
      <c r="V25" s="106" t="inlineStr">
        <is>
          <t>Referrals</t>
        </is>
      </c>
      <c r="W25" s="298" t="n">
        <v>0.01</v>
      </c>
      <c r="X25" s="137" t="n">
        <v>2336.79</v>
      </c>
      <c r="Z25" s="136" t="inlineStr">
        <is>
          <t>bergerpaints.com</t>
        </is>
      </c>
      <c r="AA25" s="106" t="inlineStr">
        <is>
          <t>Referrals</t>
        </is>
      </c>
      <c r="AB25" s="298" t="n">
        <v>0.02</v>
      </c>
      <c r="AC25" s="137" t="n">
        <v>2932.28</v>
      </c>
      <c r="AE25" s="136" t="inlineStr">
        <is>
          <t>bergerpaints.com</t>
        </is>
      </c>
      <c r="AF25" s="106" t="inlineStr">
        <is>
          <t>Referrals</t>
        </is>
      </c>
      <c r="AG25" s="298" t="n">
        <v>0.03</v>
      </c>
      <c r="AH25" s="137" t="n">
        <v>4232.5</v>
      </c>
      <c r="AJ25" s="136" t="inlineStr">
        <is>
          <t>bergerpaints.com</t>
        </is>
      </c>
      <c r="AK25" s="106" t="inlineStr">
        <is>
          <t>Referrals</t>
        </is>
      </c>
      <c r="AL25" s="298" t="n">
        <v>0.02</v>
      </c>
      <c r="AM25" s="137" t="n">
        <v>2659.51</v>
      </c>
      <c r="AO25" s="136" t="inlineStr">
        <is>
          <t>bergerpaints.com</t>
        </is>
      </c>
      <c r="AP25" s="106" t="inlineStr">
        <is>
          <t>Referrals</t>
        </is>
      </c>
      <c r="AQ25" s="298" t="n">
        <v>0.02</v>
      </c>
      <c r="AR25" s="137" t="n">
        <v>2986.72</v>
      </c>
      <c r="AT25" s="136" t="inlineStr">
        <is>
          <t>bergerpaints.com</t>
        </is>
      </c>
      <c r="AU25" s="106" t="inlineStr">
        <is>
          <t>Referrals</t>
        </is>
      </c>
      <c r="AV25" s="298" t="n">
        <v>0.02</v>
      </c>
      <c r="AW25" s="137" t="n">
        <v>3370.53</v>
      </c>
      <c r="AY25" s="136" t="inlineStr">
        <is>
          <t>bergerpaints.com</t>
        </is>
      </c>
      <c r="AZ25" s="106" t="inlineStr">
        <is>
          <t>Referrals</t>
        </is>
      </c>
      <c r="BA25" s="298" t="n">
        <v>0.03</v>
      </c>
      <c r="BB25" s="137" t="n">
        <v>4122.76</v>
      </c>
      <c r="BD25" s="136" t="inlineStr">
        <is>
          <t>bergerpaints.com</t>
        </is>
      </c>
      <c r="BE25" s="106" t="inlineStr">
        <is>
          <t>Referrals</t>
        </is>
      </c>
      <c r="BF25" s="298" t="n">
        <v>0.02</v>
      </c>
      <c r="BG25" s="137" t="n">
        <v>3067.86</v>
      </c>
      <c r="BI25" s="105" t="inlineStr">
        <is>
          <t>bergerpaints.com</t>
        </is>
      </c>
      <c r="BJ25" s="106" t="inlineStr">
        <is>
          <t>Referrals</t>
        </is>
      </c>
      <c r="BK25" s="298" t="n">
        <v>0.04</v>
      </c>
      <c r="BL25" s="108" t="n">
        <v>11020.89</v>
      </c>
      <c r="BN25" s="105" t="inlineStr">
        <is>
          <t>bergerpaints.com</t>
        </is>
      </c>
      <c r="BO25" s="106" t="inlineStr">
        <is>
          <t>Referrals</t>
        </is>
      </c>
      <c r="BP25" s="298" t="n">
        <v>0.06</v>
      </c>
      <c r="BQ25" s="108" t="n">
        <v>11177.68</v>
      </c>
    </row>
    <row r="26">
      <c r="A26" s="136" t="inlineStr">
        <is>
          <t>nerolac.com</t>
        </is>
      </c>
      <c r="B26" s="106" t="inlineStr">
        <is>
          <t>Referrals</t>
        </is>
      </c>
      <c r="C26" s="298" t="n">
        <v>0.06</v>
      </c>
      <c r="D26" s="137" t="n">
        <v>6832.32</v>
      </c>
      <c r="F26" s="136" t="inlineStr">
        <is>
          <t>nerolac.com</t>
        </is>
      </c>
      <c r="G26" s="106" t="inlineStr">
        <is>
          <t>Referrals</t>
        </is>
      </c>
      <c r="H26" s="298" t="n">
        <v>0.07000000000000001</v>
      </c>
      <c r="I26" s="137" t="n">
        <v>8539.27</v>
      </c>
      <c r="K26" s="136" t="inlineStr">
        <is>
          <t>nerolac.com</t>
        </is>
      </c>
      <c r="L26" s="106" t="inlineStr">
        <is>
          <t>Referrals</t>
        </is>
      </c>
      <c r="M26" s="298" t="n">
        <v>0.04</v>
      </c>
      <c r="N26" s="137" t="n">
        <v>5293.41</v>
      </c>
      <c r="P26" s="136" t="inlineStr">
        <is>
          <t>nerolac.com</t>
        </is>
      </c>
      <c r="Q26" s="106" t="inlineStr">
        <is>
          <t>Referrals</t>
        </is>
      </c>
      <c r="R26" s="298" t="n">
        <v>0.04</v>
      </c>
      <c r="S26" s="137" t="n">
        <v>5857.28</v>
      </c>
      <c r="U26" s="136" t="inlineStr">
        <is>
          <t>nerolac.com</t>
        </is>
      </c>
      <c r="V26" s="106" t="inlineStr">
        <is>
          <t>Referrals</t>
        </is>
      </c>
      <c r="W26" s="298" t="n">
        <v>0.03</v>
      </c>
      <c r="X26" s="137" t="n">
        <v>4467.03</v>
      </c>
      <c r="Z26" s="136" t="inlineStr">
        <is>
          <t>nerolac.com</t>
        </is>
      </c>
      <c r="AA26" s="106" t="inlineStr">
        <is>
          <t>Referrals</t>
        </is>
      </c>
      <c r="AB26" s="298" t="n">
        <v>0.03</v>
      </c>
      <c r="AC26" s="137" t="n">
        <v>4950.82</v>
      </c>
      <c r="AE26" s="136" t="inlineStr">
        <is>
          <t>nerolac.com</t>
        </is>
      </c>
      <c r="AF26" s="106" t="inlineStr">
        <is>
          <t>Referrals</t>
        </is>
      </c>
      <c r="AG26" s="298" t="n">
        <v>0.04</v>
      </c>
      <c r="AH26" s="137" t="n">
        <v>5252.58</v>
      </c>
      <c r="AJ26" s="136" t="inlineStr">
        <is>
          <t>nerolac.com</t>
        </is>
      </c>
      <c r="AK26" s="106" t="inlineStr">
        <is>
          <t>Referrals</t>
        </is>
      </c>
      <c r="AL26" s="298" t="n">
        <v>0.02</v>
      </c>
      <c r="AM26" s="137" t="n">
        <v>2608.77</v>
      </c>
      <c r="AO26" s="136" t="inlineStr">
        <is>
          <t>nerolac.com</t>
        </is>
      </c>
      <c r="AP26" s="106" t="inlineStr">
        <is>
          <t>Referrals</t>
        </is>
      </c>
      <c r="AQ26" s="298" t="n">
        <v>0.01</v>
      </c>
      <c r="AR26" s="137" t="n">
        <v>1762.42</v>
      </c>
      <c r="AT26" s="136" t="inlineStr">
        <is>
          <t>nerolac.com</t>
        </is>
      </c>
      <c r="AU26" s="106" t="inlineStr">
        <is>
          <t>Referrals</t>
        </is>
      </c>
      <c r="AV26" s="298" t="n">
        <v>0.01</v>
      </c>
      <c r="AW26" s="137" t="n">
        <v>1803.26</v>
      </c>
      <c r="AY26" s="136" t="inlineStr">
        <is>
          <t>nerolac.com</t>
        </is>
      </c>
      <c r="AZ26" s="106" t="inlineStr">
        <is>
          <t>Referrals</t>
        </is>
      </c>
      <c r="BA26" s="298" t="n">
        <v>0.02</v>
      </c>
      <c r="BB26" s="137" t="n">
        <v>2214.15</v>
      </c>
      <c r="BD26" s="136" t="inlineStr">
        <is>
          <t>nerolac.com</t>
        </is>
      </c>
      <c r="BE26" s="106" t="inlineStr">
        <is>
          <t>Referrals</t>
        </is>
      </c>
      <c r="BF26" s="298" t="n">
        <v>0.03</v>
      </c>
      <c r="BG26" s="137" t="n">
        <v>4668.96</v>
      </c>
      <c r="BI26" s="105" t="inlineStr">
        <is>
          <t>nerolac.com</t>
        </is>
      </c>
      <c r="BJ26" s="106" t="inlineStr">
        <is>
          <t>Referrals</t>
        </is>
      </c>
      <c r="BK26" s="298" t="n">
        <v>0.07000000000000001</v>
      </c>
      <c r="BL26" s="108" t="n">
        <v>12713.84</v>
      </c>
      <c r="BN26" s="105" t="inlineStr">
        <is>
          <t>nerolac.com</t>
        </is>
      </c>
      <c r="BO26" s="106" t="inlineStr">
        <is>
          <t>Referrals</t>
        </is>
      </c>
      <c r="BP26" s="298" t="n">
        <v>0.02</v>
      </c>
      <c r="BQ26" s="108" t="n">
        <v>4976.95</v>
      </c>
    </row>
    <row r="27">
      <c r="A27" s="136" t="inlineStr">
        <is>
          <t>asianpaints.com</t>
        </is>
      </c>
      <c r="B27" s="106" t="inlineStr">
        <is>
          <t>Social</t>
        </is>
      </c>
      <c r="C27" s="298" t="n">
        <v>0.67</v>
      </c>
      <c r="D27" s="137" t="n">
        <v>183573.45</v>
      </c>
      <c r="F27" s="136" t="inlineStr">
        <is>
          <t>asianpaints.com</t>
        </is>
      </c>
      <c r="G27" s="106" t="inlineStr">
        <is>
          <t>Social</t>
        </is>
      </c>
      <c r="H27" s="298" t="n">
        <v>0.65</v>
      </c>
      <c r="I27" s="137" t="n">
        <v>172576.07</v>
      </c>
      <c r="K27" s="136" t="inlineStr">
        <is>
          <t>asianpaints.com</t>
        </is>
      </c>
      <c r="L27" s="106" t="inlineStr">
        <is>
          <t>Social</t>
        </is>
      </c>
      <c r="M27" s="298" t="n">
        <v>0.68</v>
      </c>
      <c r="N27" s="137" t="n">
        <v>184048.96</v>
      </c>
      <c r="P27" s="136" t="inlineStr">
        <is>
          <t>asianpaints.com</t>
        </is>
      </c>
      <c r="Q27" s="106" t="inlineStr">
        <is>
          <t>Social</t>
        </is>
      </c>
      <c r="R27" s="298" t="n">
        <v>0.8</v>
      </c>
      <c r="S27" s="137" t="n">
        <v>190735.07</v>
      </c>
      <c r="U27" s="136" t="inlineStr">
        <is>
          <t>asianpaints.com</t>
        </is>
      </c>
      <c r="V27" s="106" t="inlineStr">
        <is>
          <t>Social</t>
        </is>
      </c>
      <c r="W27" s="298" t="n">
        <v>0.68</v>
      </c>
      <c r="X27" s="137" t="n">
        <v>190883.57</v>
      </c>
      <c r="Z27" s="136" t="inlineStr">
        <is>
          <t>asianpaints.com</t>
        </is>
      </c>
      <c r="AA27" s="106" t="inlineStr">
        <is>
          <t>Social</t>
        </is>
      </c>
      <c r="AB27" s="298" t="n">
        <v>0.79</v>
      </c>
      <c r="AC27" s="137" t="n">
        <v>196380.9</v>
      </c>
      <c r="AE27" s="136" t="inlineStr">
        <is>
          <t>asianpaints.com</t>
        </is>
      </c>
      <c r="AF27" s="106" t="inlineStr">
        <is>
          <t>Social</t>
        </is>
      </c>
      <c r="AG27" s="298" t="n">
        <v>0.9</v>
      </c>
      <c r="AH27" s="137" t="n">
        <v>227665.97</v>
      </c>
      <c r="AJ27" s="136" t="inlineStr">
        <is>
          <t>asianpaints.com</t>
        </is>
      </c>
      <c r="AK27" s="106" t="inlineStr">
        <is>
          <t>Social</t>
        </is>
      </c>
      <c r="AL27" s="298" t="n">
        <v>0.6899999999999999</v>
      </c>
      <c r="AM27" s="137" t="n">
        <v>168119.67</v>
      </c>
      <c r="AO27" s="136" t="inlineStr">
        <is>
          <t>asianpaints.com</t>
        </is>
      </c>
      <c r="AP27" s="106" t="inlineStr">
        <is>
          <t>Social</t>
        </is>
      </c>
      <c r="AQ27" s="298" t="n">
        <v>0.84</v>
      </c>
      <c r="AR27" s="137" t="n">
        <v>226044.38</v>
      </c>
      <c r="AT27" s="136" t="inlineStr">
        <is>
          <t>asianpaints.com</t>
        </is>
      </c>
      <c r="AU27" s="106" t="inlineStr">
        <is>
          <t>Social</t>
        </is>
      </c>
      <c r="AV27" s="298" t="n">
        <v>0.6899999999999999</v>
      </c>
      <c r="AW27" s="137" t="n">
        <v>262931.36</v>
      </c>
      <c r="AY27" s="136" t="inlineStr">
        <is>
          <t>asianpaints.com</t>
        </is>
      </c>
      <c r="AZ27" s="106" t="inlineStr">
        <is>
          <t>Social</t>
        </is>
      </c>
      <c r="BA27" s="298" t="n">
        <v>0.74</v>
      </c>
      <c r="BB27" s="137" t="n">
        <v>245879.27</v>
      </c>
      <c r="BD27" s="136" t="inlineStr">
        <is>
          <t>asianpaints.com</t>
        </is>
      </c>
      <c r="BE27" s="106" t="inlineStr">
        <is>
          <t>Social</t>
        </is>
      </c>
      <c r="BF27" s="298" t="n">
        <v>0.82</v>
      </c>
      <c r="BG27" s="137" t="n">
        <v>346315.76</v>
      </c>
      <c r="BI27" s="105" t="inlineStr">
        <is>
          <t>asianpaints.com</t>
        </is>
      </c>
      <c r="BJ27" s="106" t="inlineStr">
        <is>
          <t>Social</t>
        </is>
      </c>
      <c r="BK27" s="298" t="n">
        <v>0.47</v>
      </c>
      <c r="BL27" s="108" t="n">
        <v>25714.76</v>
      </c>
      <c r="BN27" s="105" t="inlineStr">
        <is>
          <t>asianpaints.com</t>
        </is>
      </c>
      <c r="BO27" s="106" t="inlineStr">
        <is>
          <t>Social</t>
        </is>
      </c>
      <c r="BP27" s="298" t="n">
        <v>0.68</v>
      </c>
      <c r="BQ27" s="108" t="n">
        <v>18118.93</v>
      </c>
    </row>
    <row r="28">
      <c r="A28" s="136" t="inlineStr">
        <is>
          <t>birlaopus.com</t>
        </is>
      </c>
      <c r="B28" s="106" t="inlineStr">
        <is>
          <t>Social</t>
        </is>
      </c>
      <c r="C28" s="298" t="n">
        <v>0.07000000000000001</v>
      </c>
      <c r="D28" s="137" t="n">
        <v>21455.83</v>
      </c>
      <c r="F28" s="136" t="inlineStr">
        <is>
          <t>birlaopus.com</t>
        </is>
      </c>
      <c r="G28" s="106" t="inlineStr">
        <is>
          <t>Social</t>
        </is>
      </c>
      <c r="H28" s="298" t="n">
        <v>0.06</v>
      </c>
      <c r="I28" s="137" t="n">
        <v>18625.93</v>
      </c>
      <c r="K28" s="136" t="inlineStr">
        <is>
          <t>birlaopus.com</t>
        </is>
      </c>
      <c r="L28" s="106" t="inlineStr">
        <is>
          <t>Social</t>
        </is>
      </c>
      <c r="M28" s="298" t="n">
        <v>0.16</v>
      </c>
      <c r="N28" s="137" t="n">
        <v>49491.15</v>
      </c>
      <c r="P28" s="136" t="inlineStr">
        <is>
          <t>birlaopus.com</t>
        </is>
      </c>
      <c r="Q28" s="106" t="inlineStr">
        <is>
          <t>Social</t>
        </is>
      </c>
      <c r="R28" s="298" t="n">
        <v>0.07000000000000001</v>
      </c>
      <c r="S28" s="137" t="n">
        <v>15102.38</v>
      </c>
      <c r="U28" s="136" t="inlineStr">
        <is>
          <t>birlaopus.com</t>
        </is>
      </c>
      <c r="V28" s="106" t="inlineStr">
        <is>
          <t>Social</t>
        </is>
      </c>
      <c r="W28" s="298" t="n">
        <v>0.18</v>
      </c>
      <c r="X28" s="137" t="n">
        <v>52171.58</v>
      </c>
      <c r="Z28" s="136" t="inlineStr">
        <is>
          <t>birlaopus.com</t>
        </is>
      </c>
      <c r="AA28" s="106" t="inlineStr">
        <is>
          <t>Social</t>
        </is>
      </c>
      <c r="AB28" s="298" t="n">
        <v>0.05</v>
      </c>
      <c r="AC28" s="137" t="n">
        <v>13644.68</v>
      </c>
      <c r="AE28" s="136" t="inlineStr">
        <is>
          <t>birlaopus.com</t>
        </is>
      </c>
      <c r="AF28" s="106" t="inlineStr">
        <is>
          <t>Social</t>
        </is>
      </c>
      <c r="AG28" s="298" t="n">
        <v>0.05</v>
      </c>
      <c r="AH28" s="137" t="n">
        <v>14413</v>
      </c>
      <c r="AJ28" s="136" t="inlineStr">
        <is>
          <t>birlaopus.com</t>
        </is>
      </c>
      <c r="AK28" s="106" t="inlineStr">
        <is>
          <t>Social</t>
        </is>
      </c>
      <c r="AL28" s="298" t="n">
        <v>0.12</v>
      </c>
      <c r="AM28" s="137" t="n">
        <v>27484.68</v>
      </c>
      <c r="AO28" s="136" t="inlineStr">
        <is>
          <t>birlaopus.com</t>
        </is>
      </c>
      <c r="AP28" s="106" t="inlineStr">
        <is>
          <t>Social</t>
        </is>
      </c>
      <c r="AQ28" s="298" t="n">
        <v>0.13</v>
      </c>
      <c r="AR28" s="137" t="n">
        <v>38613.57</v>
      </c>
      <c r="AT28" s="136" t="inlineStr">
        <is>
          <t>birlaopus.com</t>
        </is>
      </c>
      <c r="AU28" s="106" t="inlineStr">
        <is>
          <t>Social</t>
        </is>
      </c>
      <c r="AV28" s="298" t="n">
        <v>0.12</v>
      </c>
      <c r="AW28" s="137" t="n">
        <v>51191.08</v>
      </c>
      <c r="AY28" s="136" t="inlineStr">
        <is>
          <t>birlaopus.com</t>
        </is>
      </c>
      <c r="AZ28" s="106" t="inlineStr">
        <is>
          <t>Social</t>
        </is>
      </c>
      <c r="BA28" s="298" t="n">
        <v>0.04</v>
      </c>
      <c r="BB28" s="137" t="n">
        <v>13566.26</v>
      </c>
      <c r="BD28" s="136" t="inlineStr">
        <is>
          <t>birlaopus.com</t>
        </is>
      </c>
      <c r="BE28" s="106" t="inlineStr">
        <is>
          <t>Social</t>
        </is>
      </c>
      <c r="BF28" s="298" t="n">
        <v>0.03</v>
      </c>
      <c r="BG28" s="137" t="n">
        <v>11648.76</v>
      </c>
      <c r="BI28" s="105" t="inlineStr">
        <is>
          <t>birlaopus.com</t>
        </is>
      </c>
      <c r="BJ28" s="106" t="inlineStr">
        <is>
          <t>Social</t>
        </is>
      </c>
      <c r="BK28" s="298" t="n">
        <v>0.33</v>
      </c>
      <c r="BL28" s="108" t="n">
        <v>20984.53</v>
      </c>
      <c r="BN28" s="105" t="inlineStr">
        <is>
          <t>birlaopus.com</t>
        </is>
      </c>
      <c r="BO28" s="106" t="inlineStr">
        <is>
          <t>Social</t>
        </is>
      </c>
      <c r="BP28" s="298" t="n">
        <v>0.23</v>
      </c>
      <c r="BQ28" s="108" t="n">
        <v>7951.29</v>
      </c>
    </row>
    <row r="29">
      <c r="A29" s="136" t="inlineStr">
        <is>
          <t>bergerpaints.com</t>
        </is>
      </c>
      <c r="B29" s="106" t="inlineStr">
        <is>
          <t>Social</t>
        </is>
      </c>
      <c r="C29" s="298" t="n">
        <v>0.08</v>
      </c>
      <c r="D29" s="137" t="n">
        <v>20200.65</v>
      </c>
      <c r="F29" s="136" t="inlineStr">
        <is>
          <t>bergerpaints.com</t>
        </is>
      </c>
      <c r="G29" s="106" t="inlineStr">
        <is>
          <t>Social</t>
        </is>
      </c>
      <c r="H29" s="298" t="n">
        <v>0.08</v>
      </c>
      <c r="I29" s="137" t="n">
        <v>21258.65</v>
      </c>
      <c r="K29" s="136" t="inlineStr">
        <is>
          <t>bergerpaints.com</t>
        </is>
      </c>
      <c r="L29" s="106" t="inlineStr">
        <is>
          <t>Social</t>
        </is>
      </c>
      <c r="M29" s="298" t="n">
        <v>0.07000000000000001</v>
      </c>
      <c r="N29" s="137" t="n">
        <v>23859.61</v>
      </c>
      <c r="P29" s="136" t="inlineStr">
        <is>
          <t>bergerpaints.com</t>
        </is>
      </c>
      <c r="Q29" s="106" t="inlineStr">
        <is>
          <t>Social</t>
        </is>
      </c>
      <c r="R29" s="298" t="n">
        <v>0.04</v>
      </c>
      <c r="S29" s="137" t="n">
        <v>11139.07</v>
      </c>
      <c r="U29" s="136" t="inlineStr">
        <is>
          <t>bergerpaints.com</t>
        </is>
      </c>
      <c r="V29" s="106" t="inlineStr">
        <is>
          <t>Social</t>
        </is>
      </c>
      <c r="W29" s="298" t="n">
        <v>0.05</v>
      </c>
      <c r="X29" s="137" t="n">
        <v>12104.24</v>
      </c>
      <c r="Z29" s="136" t="inlineStr">
        <is>
          <t>bergerpaints.com</t>
        </is>
      </c>
      <c r="AA29" s="106" t="inlineStr">
        <is>
          <t>Social</t>
        </is>
      </c>
      <c r="AB29" s="298" t="n">
        <v>0.06</v>
      </c>
      <c r="AC29" s="137" t="n">
        <v>18799.61</v>
      </c>
      <c r="AE29" s="136" t="inlineStr">
        <is>
          <t>bergerpaints.com</t>
        </is>
      </c>
      <c r="AF29" s="106" t="inlineStr">
        <is>
          <t>Social</t>
        </is>
      </c>
      <c r="AG29" s="298" t="n">
        <v>0.08</v>
      </c>
      <c r="AH29" s="137" t="n">
        <v>25958.57</v>
      </c>
      <c r="AJ29" s="136" t="inlineStr">
        <is>
          <t>bergerpaints.com</t>
        </is>
      </c>
      <c r="AK29" s="106" t="inlineStr">
        <is>
          <t>Social</t>
        </is>
      </c>
      <c r="AL29" s="298" t="n">
        <v>0.07000000000000001</v>
      </c>
      <c r="AM29" s="137" t="n">
        <v>18677.14</v>
      </c>
      <c r="AO29" s="136" t="inlineStr">
        <is>
          <t>bergerpaints.com</t>
        </is>
      </c>
      <c r="AP29" s="106" t="inlineStr">
        <is>
          <t>Social</t>
        </is>
      </c>
      <c r="AQ29" s="298" t="n">
        <v>0.04</v>
      </c>
      <c r="AR29" s="137" t="n">
        <v>16763.37</v>
      </c>
      <c r="AT29" s="136" t="inlineStr">
        <is>
          <t>bergerpaints.com</t>
        </is>
      </c>
      <c r="AU29" s="106" t="inlineStr">
        <is>
          <t>Social</t>
        </is>
      </c>
      <c r="AV29" s="298" t="n">
        <v>0.06</v>
      </c>
      <c r="AW29" s="137" t="n">
        <v>15992.37</v>
      </c>
      <c r="AY29" s="136" t="inlineStr">
        <is>
          <t>bergerpaints.com</t>
        </is>
      </c>
      <c r="AZ29" s="106" t="inlineStr">
        <is>
          <t>Social</t>
        </is>
      </c>
      <c r="BA29" s="298" t="n">
        <v>0.06</v>
      </c>
      <c r="BB29" s="137" t="n">
        <v>18158.44</v>
      </c>
      <c r="BD29" s="136" t="inlineStr">
        <is>
          <t>bergerpaints.com</t>
        </is>
      </c>
      <c r="BE29" s="106" t="inlineStr">
        <is>
          <t>Social</t>
        </is>
      </c>
      <c r="BF29" s="298" t="n">
        <v>0.04</v>
      </c>
      <c r="BG29" s="137" t="n">
        <v>15313.3</v>
      </c>
      <c r="BI29" s="105" t="inlineStr">
        <is>
          <t>bergerpaints.com</t>
        </is>
      </c>
      <c r="BJ29" s="106" t="inlineStr">
        <is>
          <t>Social</t>
        </is>
      </c>
      <c r="BK29" s="298" t="n">
        <v>0.09</v>
      </c>
      <c r="BL29" s="108" t="n">
        <v>5220.71</v>
      </c>
      <c r="BN29" s="105" t="inlineStr">
        <is>
          <t>bergerpaints.com</t>
        </is>
      </c>
      <c r="BO29" s="106" t="inlineStr">
        <is>
          <t>Social</t>
        </is>
      </c>
      <c r="BP29" s="298" t="n">
        <v>0.12</v>
      </c>
      <c r="BQ29" s="108" t="n">
        <v>3431.24</v>
      </c>
    </row>
    <row r="30">
      <c r="A30" s="141" t="inlineStr">
        <is>
          <t>nerolac.com</t>
        </is>
      </c>
      <c r="B30" s="142" t="inlineStr">
        <is>
          <t>Social</t>
        </is>
      </c>
      <c r="C30" s="301" t="n">
        <v>0.12</v>
      </c>
      <c r="D30" s="144" t="n">
        <v>31456.24</v>
      </c>
      <c r="F30" s="141" t="inlineStr">
        <is>
          <t>nerolac.com</t>
        </is>
      </c>
      <c r="G30" s="142" t="inlineStr">
        <is>
          <t>Social</t>
        </is>
      </c>
      <c r="H30" s="301" t="n">
        <v>0.12</v>
      </c>
      <c r="I30" s="144" t="n">
        <v>31053.93</v>
      </c>
      <c r="K30" s="141" t="inlineStr">
        <is>
          <t>nerolac.com</t>
        </is>
      </c>
      <c r="L30" s="142" t="inlineStr">
        <is>
          <t>Social</t>
        </is>
      </c>
      <c r="M30" s="301" t="n">
        <v>0.07000000000000001</v>
      </c>
      <c r="N30" s="144" t="n">
        <v>22081.12</v>
      </c>
      <c r="P30" s="141" t="inlineStr">
        <is>
          <t>nerolac.com</t>
        </is>
      </c>
      <c r="Q30" s="142" t="inlineStr">
        <is>
          <t>Social</t>
        </is>
      </c>
      <c r="R30" s="301" t="n">
        <v>0.11</v>
      </c>
      <c r="S30" s="144" t="n">
        <v>30144.79</v>
      </c>
      <c r="U30" s="141" t="inlineStr">
        <is>
          <t>nerolac.com</t>
        </is>
      </c>
      <c r="V30" s="142" t="inlineStr">
        <is>
          <t>Social</t>
        </is>
      </c>
      <c r="W30" s="301" t="n">
        <v>0.08</v>
      </c>
      <c r="X30" s="144" t="n">
        <v>24378.3</v>
      </c>
      <c r="Z30" s="141" t="inlineStr">
        <is>
          <t>nerolac.com</t>
        </is>
      </c>
      <c r="AA30" s="142" t="inlineStr">
        <is>
          <t>Social</t>
        </is>
      </c>
      <c r="AB30" s="301" t="n">
        <v>0.08</v>
      </c>
      <c r="AC30" s="144" t="n">
        <v>22365.74</v>
      </c>
      <c r="AE30" s="141" t="inlineStr">
        <is>
          <t>nerolac.com</t>
        </is>
      </c>
      <c r="AF30" s="142" t="inlineStr">
        <is>
          <t>Social</t>
        </is>
      </c>
      <c r="AG30" s="301" t="n">
        <v>0.08</v>
      </c>
      <c r="AH30" s="144" t="n">
        <v>25071.26</v>
      </c>
      <c r="AJ30" s="145" t="inlineStr">
        <is>
          <t>nerolac.com</t>
        </is>
      </c>
      <c r="AK30" s="146" t="inlineStr">
        <is>
          <t>Social</t>
        </is>
      </c>
      <c r="AL30" s="302" t="n">
        <v>0.06</v>
      </c>
      <c r="AM30" s="148" t="n">
        <v>17894.37</v>
      </c>
      <c r="AO30" s="141" t="inlineStr">
        <is>
          <t>nerolac.com</t>
        </is>
      </c>
      <c r="AP30" s="142" t="inlineStr">
        <is>
          <t>Social</t>
        </is>
      </c>
      <c r="AQ30" s="301" t="n">
        <v>0.04</v>
      </c>
      <c r="AR30" s="144" t="n">
        <v>12028.56</v>
      </c>
      <c r="AT30" s="141" t="inlineStr">
        <is>
          <t>nerolac.com</t>
        </is>
      </c>
      <c r="AU30" s="142" t="inlineStr">
        <is>
          <t>Social</t>
        </is>
      </c>
      <c r="AV30" s="301" t="n">
        <v>0.03</v>
      </c>
      <c r="AW30" s="144" t="n">
        <v>9067.209999999999</v>
      </c>
      <c r="AY30" s="141" t="inlineStr">
        <is>
          <t>nerolac.com</t>
        </is>
      </c>
      <c r="AZ30" s="142" t="inlineStr">
        <is>
          <t>Social</t>
        </is>
      </c>
      <c r="BA30" s="301" t="n">
        <v>0.03</v>
      </c>
      <c r="BB30" s="144" t="n">
        <v>10385.21</v>
      </c>
      <c r="BD30" s="141" t="inlineStr">
        <is>
          <t>nerolac.com</t>
        </is>
      </c>
      <c r="BE30" s="142" t="inlineStr">
        <is>
          <t>Social</t>
        </is>
      </c>
      <c r="BF30" s="301" t="n">
        <v>0.04</v>
      </c>
      <c r="BG30" s="144" t="n">
        <v>15156.99</v>
      </c>
      <c r="BI30" s="114" t="inlineStr">
        <is>
          <t>nerolac.com</t>
        </is>
      </c>
      <c r="BJ30" s="115" t="inlineStr">
        <is>
          <t>Social</t>
        </is>
      </c>
      <c r="BK30" s="298" t="n">
        <v>0.01</v>
      </c>
      <c r="BL30" s="108" t="n">
        <v>598.49</v>
      </c>
      <c r="BN30" s="114" t="inlineStr">
        <is>
          <t>nerolac.com</t>
        </is>
      </c>
      <c r="BO30" s="115" t="inlineStr">
        <is>
          <t>Social</t>
        </is>
      </c>
      <c r="BP30" s="298" t="n">
        <v>0</v>
      </c>
      <c r="BQ30" s="108" t="inlineStr">
        <is>
          <t>N/A</t>
        </is>
      </c>
    </row>
    <row r="31"/>
    <row r="32">
      <c r="A32" s="191" t="inlineStr">
        <is>
          <t>April'25</t>
        </is>
      </c>
      <c r="F32" s="191" t="inlineStr">
        <is>
          <t>May'25</t>
        </is>
      </c>
      <c r="K32" s="191" t="inlineStr">
        <is>
          <t>Jun'25</t>
        </is>
      </c>
      <c r="P32" s="191" t="inlineStr">
        <is>
          <t>July'25</t>
        </is>
      </c>
      <c r="U32" s="192" t="inlineStr">
        <is>
          <t>Aug'25</t>
        </is>
      </c>
      <c r="V32" s="246" t="n"/>
      <c r="W32" s="246" t="n"/>
      <c r="X32" s="247" t="n"/>
      <c r="Z32" s="192" t="inlineStr">
        <is>
          <t>Sept'25</t>
        </is>
      </c>
      <c r="AA32" s="246" t="n"/>
      <c r="AB32" s="246" t="n"/>
      <c r="AC32" s="247" t="n"/>
      <c r="AE32" s="192" t="inlineStr">
        <is>
          <t>Oct'25</t>
        </is>
      </c>
      <c r="AF32" s="246" t="n"/>
      <c r="AG32" s="246" t="n"/>
      <c r="AH32" s="247" t="n"/>
      <c r="AJ32" s="192" t="inlineStr">
        <is>
          <t>Nov'25</t>
        </is>
      </c>
      <c r="AK32" s="246" t="n"/>
      <c r="AL32" s="246" t="n"/>
      <c r="AM32" s="247" t="n"/>
      <c r="AO32" s="192" t="inlineStr">
        <is>
          <t>Dec'25</t>
        </is>
      </c>
      <c r="AP32" s="246" t="n"/>
      <c r="AQ32" s="246" t="n"/>
      <c r="AR32" s="247" t="n"/>
      <c r="AT32" s="192" t="inlineStr">
        <is>
          <t>Jan'26</t>
        </is>
      </c>
      <c r="AU32" s="246" t="n"/>
      <c r="AV32" s="246" t="n"/>
      <c r="AW32" s="247" t="n"/>
      <c r="AY32" s="192" t="inlineStr">
        <is>
          <t>Feb''26</t>
        </is>
      </c>
      <c r="AZ32" s="246" t="n"/>
      <c r="BA32" s="246" t="n"/>
      <c r="BB32" s="247" t="n"/>
      <c r="BD32" s="192" t="inlineStr">
        <is>
          <t>Mar'26</t>
        </is>
      </c>
      <c r="BE32" s="246" t="n"/>
      <c r="BF32" s="246" t="n"/>
      <c r="BG32" s="247" t="n"/>
      <c r="BI32" s="192" t="inlineStr">
        <is>
          <t>Apr'26</t>
        </is>
      </c>
      <c r="BJ32" s="246" t="n"/>
      <c r="BK32" s="246" t="n"/>
      <c r="BL32" s="247" t="n"/>
      <c r="BN32" s="192" t="inlineStr">
        <is>
          <t>May'26</t>
        </is>
      </c>
      <c r="BO32" s="246" t="n"/>
      <c r="BP32" s="246" t="n"/>
      <c r="BQ32" s="247" t="n"/>
    </row>
    <row r="33">
      <c r="A33" s="126" t="inlineStr">
        <is>
          <t>Domain</t>
        </is>
      </c>
      <c r="B33" s="1" t="inlineStr">
        <is>
          <t>Channel</t>
        </is>
      </c>
      <c r="C33" s="288" t="inlineStr">
        <is>
          <t>Traffic share</t>
        </is>
      </c>
      <c r="D33" s="127" t="inlineStr">
        <is>
          <t>Channel Traffic</t>
        </is>
      </c>
      <c r="F33" s="126" t="inlineStr">
        <is>
          <t>Domain</t>
        </is>
      </c>
      <c r="G33" s="1" t="inlineStr">
        <is>
          <t>Channel</t>
        </is>
      </c>
      <c r="H33" s="288" t="inlineStr">
        <is>
          <t>Traffic share</t>
        </is>
      </c>
      <c r="I33" s="127" t="inlineStr">
        <is>
          <t>Channel Traffic</t>
        </is>
      </c>
      <c r="K33" s="126" t="inlineStr">
        <is>
          <t>Domain</t>
        </is>
      </c>
      <c r="L33" s="1" t="inlineStr">
        <is>
          <t>Channel</t>
        </is>
      </c>
      <c r="M33" s="288" t="inlineStr">
        <is>
          <t>Traffic share</t>
        </is>
      </c>
      <c r="N33" s="127" t="inlineStr">
        <is>
          <t>Channel Traffic</t>
        </is>
      </c>
      <c r="P33" s="126" t="inlineStr">
        <is>
          <t>Domain</t>
        </is>
      </c>
      <c r="Q33" s="1" t="inlineStr">
        <is>
          <t>Channel</t>
        </is>
      </c>
      <c r="R33" s="288" t="inlineStr">
        <is>
          <t>Traffic share</t>
        </is>
      </c>
      <c r="S33" s="127" t="inlineStr">
        <is>
          <t>Channel Traffic</t>
        </is>
      </c>
      <c r="U33" s="5" t="inlineStr">
        <is>
          <t>Domain</t>
        </is>
      </c>
      <c r="V33" s="5" t="inlineStr">
        <is>
          <t>Channel</t>
        </is>
      </c>
      <c r="W33" s="299" t="inlineStr">
        <is>
          <t>Traffic share</t>
        </is>
      </c>
      <c r="X33" s="117" t="inlineStr">
        <is>
          <t>Channel Traffic</t>
        </is>
      </c>
      <c r="Z33" s="149" t="inlineStr">
        <is>
          <t>Domain</t>
        </is>
      </c>
      <c r="AA33" s="149" t="inlineStr">
        <is>
          <t>Channel</t>
        </is>
      </c>
      <c r="AB33" s="303" t="inlineStr">
        <is>
          <t>Traffic share</t>
        </is>
      </c>
      <c r="AC33" s="151" t="inlineStr">
        <is>
          <t>Channel Traffic</t>
        </is>
      </c>
      <c r="AE33" s="5" t="inlineStr">
        <is>
          <t>Domain</t>
        </is>
      </c>
      <c r="AF33" s="5" t="inlineStr">
        <is>
          <t>Channel</t>
        </is>
      </c>
      <c r="AG33" s="299" t="inlineStr">
        <is>
          <t>Traffic share</t>
        </is>
      </c>
      <c r="AH33" s="117" t="inlineStr">
        <is>
          <t>Channel Traffic</t>
        </is>
      </c>
      <c r="AJ33" s="5" t="inlineStr">
        <is>
          <t>Domain</t>
        </is>
      </c>
      <c r="AK33" s="5" t="inlineStr">
        <is>
          <t>Channel</t>
        </is>
      </c>
      <c r="AL33" s="299" t="inlineStr">
        <is>
          <t>Traffic share</t>
        </is>
      </c>
      <c r="AM33" s="117" t="inlineStr">
        <is>
          <t>Channel Traffic</t>
        </is>
      </c>
      <c r="AO33" s="5" t="inlineStr">
        <is>
          <t>Domain</t>
        </is>
      </c>
      <c r="AP33" s="5" t="inlineStr">
        <is>
          <t>Channel</t>
        </is>
      </c>
      <c r="AQ33" s="299" t="inlineStr">
        <is>
          <t>Traffic share</t>
        </is>
      </c>
      <c r="AR33" s="117" t="inlineStr">
        <is>
          <t>Channel Traffic</t>
        </is>
      </c>
      <c r="AT33" s="5" t="inlineStr">
        <is>
          <t>Domain</t>
        </is>
      </c>
      <c r="AU33" s="5" t="inlineStr">
        <is>
          <t>Channel</t>
        </is>
      </c>
      <c r="AV33" s="299" t="inlineStr">
        <is>
          <t>Traffic share</t>
        </is>
      </c>
      <c r="AW33" s="117" t="inlineStr">
        <is>
          <t>Channel Traffic</t>
        </is>
      </c>
      <c r="AY33" s="5" t="inlineStr">
        <is>
          <t>Domain</t>
        </is>
      </c>
      <c r="AZ33" s="5" t="inlineStr">
        <is>
          <t>Channel</t>
        </is>
      </c>
      <c r="BA33" s="299" t="inlineStr">
        <is>
          <t>Traffic share</t>
        </is>
      </c>
      <c r="BB33" s="117" t="inlineStr">
        <is>
          <t>Channel Traffic</t>
        </is>
      </c>
      <c r="BD33" s="5" t="inlineStr">
        <is>
          <t>Domain</t>
        </is>
      </c>
      <c r="BE33" s="5" t="inlineStr">
        <is>
          <t>Channel</t>
        </is>
      </c>
      <c r="BF33" s="299" t="inlineStr">
        <is>
          <t>Traffic share</t>
        </is>
      </c>
      <c r="BG33" s="117" t="inlineStr">
        <is>
          <t>Channel Traffic</t>
        </is>
      </c>
      <c r="BI33" s="5" t="inlineStr">
        <is>
          <t>Domain</t>
        </is>
      </c>
      <c r="BJ33" s="5" t="inlineStr">
        <is>
          <t>Channel</t>
        </is>
      </c>
      <c r="BK33" s="299" t="inlineStr">
        <is>
          <t>Traffic share</t>
        </is>
      </c>
      <c r="BL33" s="117" t="inlineStr">
        <is>
          <t>Channel Traffic</t>
        </is>
      </c>
      <c r="BN33" s="5" t="inlineStr">
        <is>
          <t>Domain</t>
        </is>
      </c>
      <c r="BO33" s="5" t="inlineStr">
        <is>
          <t>Channel</t>
        </is>
      </c>
      <c r="BP33" s="299" t="inlineStr">
        <is>
          <t>Traffic share</t>
        </is>
      </c>
      <c r="BQ33" s="117" t="inlineStr">
        <is>
          <t>Channel Traffic</t>
        </is>
      </c>
    </row>
    <row r="34">
      <c r="A34" s="136" t="inlineStr">
        <is>
          <t>asianpaints.com</t>
        </is>
      </c>
      <c r="B34" s="106" t="inlineStr">
        <is>
          <t>Direct</t>
        </is>
      </c>
      <c r="C34" s="298" t="n">
        <v>0.68</v>
      </c>
      <c r="D34" s="137" t="n">
        <v>1191543.44</v>
      </c>
      <c r="F34" s="136" t="inlineStr">
        <is>
          <t>asianpaints.com</t>
        </is>
      </c>
      <c r="G34" s="106" t="inlineStr">
        <is>
          <t>Direct</t>
        </is>
      </c>
      <c r="H34" s="298" t="n">
        <v>0.84</v>
      </c>
      <c r="I34" s="137" t="n">
        <v>1030935.98</v>
      </c>
      <c r="K34" s="136" t="inlineStr">
        <is>
          <t>asianpaints.com</t>
        </is>
      </c>
      <c r="L34" s="106" t="inlineStr">
        <is>
          <t>Direct</t>
        </is>
      </c>
      <c r="M34" s="298" t="n">
        <v>0.67</v>
      </c>
      <c r="N34" s="137" t="n">
        <v>778903.6</v>
      </c>
      <c r="P34" s="136" t="inlineStr">
        <is>
          <t>asianpaints.com</t>
        </is>
      </c>
      <c r="Q34" s="106" t="inlineStr">
        <is>
          <t>Direct</t>
        </is>
      </c>
      <c r="R34" s="298" t="n">
        <v>0.76</v>
      </c>
      <c r="S34" s="137" t="n">
        <v>951349.9300000001</v>
      </c>
      <c r="U34" s="106" t="inlineStr">
        <is>
          <t>asianpaints.com</t>
        </is>
      </c>
      <c r="V34" s="106" t="inlineStr">
        <is>
          <t>Direct</t>
        </is>
      </c>
      <c r="W34" s="298" t="n">
        <v>0.89</v>
      </c>
      <c r="X34" s="118" t="n">
        <v>851486.96</v>
      </c>
      <c r="Z34" s="106" t="inlineStr">
        <is>
          <t>asianpaints.com</t>
        </is>
      </c>
      <c r="AA34" s="106" t="inlineStr">
        <is>
          <t>Direct</t>
        </is>
      </c>
      <c r="AB34" s="298" t="n">
        <v>0.75</v>
      </c>
      <c r="AC34" s="118" t="n">
        <v>942695.96</v>
      </c>
      <c r="AE34" s="106" t="inlineStr">
        <is>
          <t>asianpaints.com</t>
        </is>
      </c>
      <c r="AF34" s="106" t="inlineStr">
        <is>
          <t>Direct</t>
        </is>
      </c>
      <c r="AG34" s="298" t="n">
        <v>0.85</v>
      </c>
      <c r="AH34" s="118" t="n">
        <v>1266887.52</v>
      </c>
      <c r="AJ34" s="106" t="inlineStr">
        <is>
          <t>asianpaints.com</t>
        </is>
      </c>
      <c r="AK34" s="106" t="inlineStr">
        <is>
          <t>Direct</t>
        </is>
      </c>
      <c r="AL34" s="298" t="n">
        <v>0.92</v>
      </c>
      <c r="AM34" s="118" t="n">
        <v>1111135.22</v>
      </c>
      <c r="AO34" s="106" t="inlineStr">
        <is>
          <t>asianpaints.com</t>
        </is>
      </c>
      <c r="AP34" s="106" t="inlineStr">
        <is>
          <t>Direct</t>
        </is>
      </c>
      <c r="AQ34" s="298" t="n">
        <v>0.91</v>
      </c>
      <c r="AR34" s="118" t="n">
        <v>1127335.08</v>
      </c>
      <c r="AT34" s="106" t="inlineStr">
        <is>
          <t>asianpaints.com</t>
        </is>
      </c>
      <c r="AU34" s="106" t="inlineStr">
        <is>
          <t>Direct</t>
        </is>
      </c>
      <c r="AV34" s="298" t="n">
        <v>0.88</v>
      </c>
      <c r="AW34" s="118" t="n">
        <v>939485.23</v>
      </c>
      <c r="AY34" s="106" t="inlineStr">
        <is>
          <t>asianpaints.com</t>
        </is>
      </c>
      <c r="AZ34" s="106" t="inlineStr">
        <is>
          <t>Direct</t>
        </is>
      </c>
      <c r="BA34" s="298" t="n">
        <v>0.9</v>
      </c>
      <c r="BB34" s="118" t="n">
        <v>805144.25</v>
      </c>
      <c r="BD34" s="106" t="inlineStr">
        <is>
          <t>asianpaints.com</t>
        </is>
      </c>
      <c r="BE34" s="106" t="inlineStr">
        <is>
          <t>Direct</t>
        </is>
      </c>
      <c r="BF34" s="298" t="n">
        <v>0.73</v>
      </c>
      <c r="BG34" s="118" t="n">
        <v>1047464.72</v>
      </c>
      <c r="BI34" s="106" t="inlineStr">
        <is>
          <t>asianpaints.com</t>
        </is>
      </c>
      <c r="BJ34" s="106" t="inlineStr">
        <is>
          <t>Direct</t>
        </is>
      </c>
      <c r="BK34" s="298" t="n">
        <v>0.8100000000000001</v>
      </c>
      <c r="BL34" s="118" t="n">
        <v>1481536.86</v>
      </c>
      <c r="BN34" s="106" t="inlineStr">
        <is>
          <t>asianpaints.com</t>
        </is>
      </c>
      <c r="BO34" s="106" t="inlineStr">
        <is>
          <t>Direct</t>
        </is>
      </c>
      <c r="BP34" s="298" t="n">
        <v>0.77</v>
      </c>
      <c r="BQ34" s="118" t="n">
        <v>1151136.94</v>
      </c>
    </row>
    <row r="35">
      <c r="A35" s="138" t="inlineStr">
        <is>
          <t>birlaopus.com</t>
        </is>
      </c>
      <c r="B35" s="5" t="inlineStr">
        <is>
          <t>Direct</t>
        </is>
      </c>
      <c r="C35" s="299" t="n">
        <v>0.13</v>
      </c>
      <c r="D35" s="139" t="n">
        <v>229868.09</v>
      </c>
      <c r="F35" s="138" t="inlineStr">
        <is>
          <t>birlaopus.com</t>
        </is>
      </c>
      <c r="G35" s="5" t="inlineStr">
        <is>
          <t>Direct</t>
        </is>
      </c>
      <c r="H35" s="299" t="n">
        <v>0.14</v>
      </c>
      <c r="I35" s="139" t="n">
        <v>207022.11</v>
      </c>
      <c r="K35" s="138" t="inlineStr">
        <is>
          <t>birlaopus.com</t>
        </is>
      </c>
      <c r="L35" s="5" t="inlineStr">
        <is>
          <t>Direct</t>
        </is>
      </c>
      <c r="M35" s="299" t="n">
        <v>0.15</v>
      </c>
      <c r="N35" s="139" t="n">
        <v>200419.04</v>
      </c>
      <c r="P35" s="138" t="inlineStr">
        <is>
          <t>birlaopus.com</t>
        </is>
      </c>
      <c r="Q35" s="5" t="inlineStr">
        <is>
          <t>Direct</t>
        </is>
      </c>
      <c r="R35" s="299" t="n">
        <v>0.13</v>
      </c>
      <c r="S35" s="139" t="n">
        <v>165152.23</v>
      </c>
      <c r="U35" s="5" t="inlineStr">
        <is>
          <t>birlaopus.com</t>
        </is>
      </c>
      <c r="V35" s="5" t="inlineStr">
        <is>
          <t>Direct</t>
        </is>
      </c>
      <c r="W35" s="299" t="n">
        <v>0.15</v>
      </c>
      <c r="X35" s="4" t="n">
        <v>176858.11</v>
      </c>
      <c r="Z35" s="5" t="inlineStr">
        <is>
          <t>birlaopus.com</t>
        </is>
      </c>
      <c r="AA35" s="5" t="inlineStr">
        <is>
          <t>Direct</t>
        </is>
      </c>
      <c r="AB35" s="299" t="n">
        <v>0.11</v>
      </c>
      <c r="AC35" s="4" t="n">
        <v>126261.02</v>
      </c>
      <c r="AE35" s="5" t="inlineStr">
        <is>
          <t>birlaopus.com</t>
        </is>
      </c>
      <c r="AF35" s="5" t="inlineStr">
        <is>
          <t>Direct</t>
        </is>
      </c>
      <c r="AG35" s="299" t="n">
        <v>0.14</v>
      </c>
      <c r="AH35" s="4" t="n">
        <v>189855.7</v>
      </c>
      <c r="AJ35" s="5" t="inlineStr">
        <is>
          <t>birlaopus.com</t>
        </is>
      </c>
      <c r="AK35" s="5" t="inlineStr">
        <is>
          <t>Direct</t>
        </is>
      </c>
      <c r="AL35" s="299" t="n">
        <v>0.09</v>
      </c>
      <c r="AM35" s="4" t="n">
        <v>91305.99000000001</v>
      </c>
      <c r="AO35" s="5" t="inlineStr">
        <is>
          <t>birlaopus.com</t>
        </is>
      </c>
      <c r="AP35" s="5" t="inlineStr">
        <is>
          <t>Direct</t>
        </is>
      </c>
      <c r="AQ35" s="299" t="n">
        <v>0.11</v>
      </c>
      <c r="AR35" s="4" t="n">
        <v>132010.95</v>
      </c>
      <c r="AT35" s="5" t="inlineStr">
        <is>
          <t>birlaopus.com</t>
        </is>
      </c>
      <c r="AU35" s="5" t="inlineStr">
        <is>
          <t>Direct</t>
        </is>
      </c>
      <c r="AV35" s="299" t="n">
        <v>0.06</v>
      </c>
      <c r="AW35" s="4" t="n">
        <v>88407.8</v>
      </c>
      <c r="AY35" s="5" t="inlineStr">
        <is>
          <t>birlaopus.com</t>
        </is>
      </c>
      <c r="AZ35" s="5" t="inlineStr">
        <is>
          <t>Direct</t>
        </is>
      </c>
      <c r="BA35" s="299" t="n">
        <v>0.09</v>
      </c>
      <c r="BB35" s="4" t="n">
        <v>105130.88</v>
      </c>
      <c r="BD35" s="5" t="inlineStr">
        <is>
          <t>birlaopus.com</t>
        </is>
      </c>
      <c r="BE35" s="5" t="inlineStr">
        <is>
          <t>Direct</t>
        </is>
      </c>
      <c r="BF35" s="299" t="n">
        <v>0.1</v>
      </c>
      <c r="BG35" s="4" t="n">
        <v>131975.48</v>
      </c>
      <c r="BI35" s="5" t="inlineStr">
        <is>
          <t>birlaopus.com</t>
        </is>
      </c>
      <c r="BJ35" s="5" t="inlineStr">
        <is>
          <t>Direct</t>
        </is>
      </c>
      <c r="BK35" s="298" t="n">
        <v>0.08</v>
      </c>
      <c r="BL35" s="118" t="n">
        <v>142876.36</v>
      </c>
      <c r="BN35" s="5" t="inlineStr">
        <is>
          <t>birlaopus.com</t>
        </is>
      </c>
      <c r="BO35" s="5" t="inlineStr">
        <is>
          <t>Direct</t>
        </is>
      </c>
      <c r="BP35" s="298" t="n">
        <v>0.06</v>
      </c>
      <c r="BQ35" s="118" t="n">
        <v>69286.91</v>
      </c>
    </row>
    <row r="36">
      <c r="A36" s="136" t="inlineStr">
        <is>
          <t>bergerpaints.com</t>
        </is>
      </c>
      <c r="B36" s="106" t="inlineStr">
        <is>
          <t>Direct</t>
        </is>
      </c>
      <c r="C36" s="298" t="n">
        <v>0.06</v>
      </c>
      <c r="D36" s="137" t="n">
        <v>91570.8</v>
      </c>
      <c r="F36" s="136" t="inlineStr">
        <is>
          <t>bergerpaints.com</t>
        </is>
      </c>
      <c r="G36" s="106" t="inlineStr">
        <is>
          <t>Direct</t>
        </is>
      </c>
      <c r="H36" s="298" t="n">
        <v>0.06</v>
      </c>
      <c r="I36" s="137" t="n">
        <v>70219.33</v>
      </c>
      <c r="K36" s="136" t="inlineStr">
        <is>
          <t>bergerpaints.com</t>
        </is>
      </c>
      <c r="L36" s="106" t="inlineStr">
        <is>
          <t>Direct</t>
        </is>
      </c>
      <c r="M36" s="298" t="n">
        <v>0.06</v>
      </c>
      <c r="N36" s="137" t="n">
        <v>75614.16</v>
      </c>
      <c r="P36" s="136" t="inlineStr">
        <is>
          <t>bergerpaints.com</t>
        </is>
      </c>
      <c r="Q36" s="106" t="inlineStr">
        <is>
          <t>Direct</t>
        </is>
      </c>
      <c r="R36" s="298" t="n">
        <v>0.06</v>
      </c>
      <c r="S36" s="137" t="n">
        <v>76147.10000000001</v>
      </c>
      <c r="U36" s="106" t="inlineStr">
        <is>
          <t>bergerpaints.com</t>
        </is>
      </c>
      <c r="V36" s="106" t="inlineStr">
        <is>
          <t>Direct</t>
        </is>
      </c>
      <c r="W36" s="298" t="n">
        <v>0.05</v>
      </c>
      <c r="X36" s="118" t="n">
        <v>58742.14</v>
      </c>
      <c r="Z36" s="106" t="inlineStr">
        <is>
          <t>bergerpaints.com</t>
        </is>
      </c>
      <c r="AA36" s="106" t="inlineStr">
        <is>
          <t>Direct</t>
        </is>
      </c>
      <c r="AB36" s="298" t="n">
        <v>0.07000000000000001</v>
      </c>
      <c r="AC36" s="118" t="n">
        <v>90059.41</v>
      </c>
      <c r="AE36" s="106" t="inlineStr">
        <is>
          <t>bergerpaints.com</t>
        </is>
      </c>
      <c r="AF36" s="106" t="inlineStr">
        <is>
          <t>Direct</t>
        </is>
      </c>
      <c r="AG36" s="298" t="n">
        <v>0.05</v>
      </c>
      <c r="AH36" s="118" t="n">
        <v>80009.57000000001</v>
      </c>
      <c r="AJ36" s="106" t="inlineStr">
        <is>
          <t>bergerpaints.com</t>
        </is>
      </c>
      <c r="AK36" s="106" t="inlineStr">
        <is>
          <t>Direct</t>
        </is>
      </c>
      <c r="AL36" s="298" t="n">
        <v>0.05</v>
      </c>
      <c r="AM36" s="118" t="n">
        <v>71406.06</v>
      </c>
      <c r="AO36" s="106" t="inlineStr">
        <is>
          <t>bergerpaints.com</t>
        </is>
      </c>
      <c r="AP36" s="106" t="inlineStr">
        <is>
          <t>Direct</t>
        </is>
      </c>
      <c r="AQ36" s="298" t="n">
        <v>0.06</v>
      </c>
      <c r="AR36" s="118" t="n">
        <v>67613.67999999999</v>
      </c>
      <c r="AT36" s="106" t="inlineStr">
        <is>
          <t>bergerpaints.com</t>
        </is>
      </c>
      <c r="AU36" s="106" t="inlineStr">
        <is>
          <t>Direct</t>
        </is>
      </c>
      <c r="AV36" s="298" t="n">
        <v>0.08</v>
      </c>
      <c r="AW36" s="118" t="n">
        <v>103601.29</v>
      </c>
      <c r="AY36" s="106" t="inlineStr">
        <is>
          <t>bergerpaints.com</t>
        </is>
      </c>
      <c r="AZ36" s="106" t="inlineStr">
        <is>
          <t>Direct</t>
        </is>
      </c>
      <c r="BA36" s="298" t="n">
        <v>0.11</v>
      </c>
      <c r="BB36" s="118" t="n">
        <v>102646.29</v>
      </c>
      <c r="BD36" s="106" t="inlineStr">
        <is>
          <t>bergerpaints.com</t>
        </is>
      </c>
      <c r="BE36" s="106" t="inlineStr">
        <is>
          <t>Direct</t>
        </is>
      </c>
      <c r="BF36" s="298" t="n">
        <v>0.08</v>
      </c>
      <c r="BG36" s="118" t="n">
        <v>80934.08</v>
      </c>
      <c r="BI36" s="106" t="inlineStr">
        <is>
          <t>bergerpaints.com</t>
        </is>
      </c>
      <c r="BJ36" s="106" t="inlineStr">
        <is>
          <t>Direct</t>
        </is>
      </c>
      <c r="BK36" s="298" t="n">
        <v>0.04</v>
      </c>
      <c r="BL36" s="118" t="n">
        <v>67318.56</v>
      </c>
      <c r="BN36" s="106" t="inlineStr">
        <is>
          <t>bergerpaints.com</t>
        </is>
      </c>
      <c r="BO36" s="106" t="inlineStr">
        <is>
          <t>Direct</t>
        </is>
      </c>
      <c r="BP36" s="298" t="n">
        <v>0.06</v>
      </c>
      <c r="BQ36" s="118" t="n">
        <v>63973.33</v>
      </c>
    </row>
    <row r="37">
      <c r="A37" s="136" t="inlineStr">
        <is>
          <t>nerolac.com</t>
        </is>
      </c>
      <c r="B37" s="106" t="inlineStr">
        <is>
          <t>Direct</t>
        </is>
      </c>
      <c r="C37" s="298" t="n">
        <v>0.06</v>
      </c>
      <c r="D37" s="137" t="n">
        <v>99379.60000000001</v>
      </c>
      <c r="F37" s="136" t="inlineStr">
        <is>
          <t>nerolac.com</t>
        </is>
      </c>
      <c r="G37" s="106" t="inlineStr">
        <is>
          <t>Direct</t>
        </is>
      </c>
      <c r="H37" s="298" t="n">
        <v>0.03</v>
      </c>
      <c r="I37" s="137" t="n">
        <v>44337.78</v>
      </c>
      <c r="K37" s="136" t="inlineStr">
        <is>
          <t>nerolac.com</t>
        </is>
      </c>
      <c r="L37" s="106" t="inlineStr">
        <is>
          <t>Direct</t>
        </is>
      </c>
      <c r="M37" s="298" t="n">
        <v>0.04</v>
      </c>
      <c r="N37" s="137" t="n">
        <v>40283.93</v>
      </c>
      <c r="P37" s="136" t="inlineStr">
        <is>
          <t>nerolac.com</t>
        </is>
      </c>
      <c r="Q37" s="106" t="inlineStr">
        <is>
          <t>Direct</t>
        </is>
      </c>
      <c r="R37" s="298" t="n">
        <v>0.03</v>
      </c>
      <c r="S37" s="137" t="n">
        <v>39180.77</v>
      </c>
      <c r="U37" s="106" t="inlineStr">
        <is>
          <t>nerolac.com</t>
        </is>
      </c>
      <c r="V37" s="106" t="inlineStr">
        <is>
          <t>Direct</t>
        </is>
      </c>
      <c r="W37" s="298" t="n">
        <v>0.03</v>
      </c>
      <c r="X37" s="118" t="n">
        <v>31461.17</v>
      </c>
      <c r="Z37" s="106" t="inlineStr">
        <is>
          <t>nerolac.com</t>
        </is>
      </c>
      <c r="AA37" s="106" t="inlineStr">
        <is>
          <t>Direct</t>
        </is>
      </c>
      <c r="AB37" s="298" t="n">
        <v>0.04</v>
      </c>
      <c r="AC37" s="118" t="n">
        <v>45325.4</v>
      </c>
      <c r="AE37" s="106" t="inlineStr">
        <is>
          <t>nerolac.com</t>
        </is>
      </c>
      <c r="AF37" s="106" t="inlineStr">
        <is>
          <t>Direct</t>
        </is>
      </c>
      <c r="AG37" s="298" t="n">
        <v>0.03</v>
      </c>
      <c r="AH37" s="118" t="n">
        <v>47025.63</v>
      </c>
      <c r="AJ37" s="106" t="inlineStr">
        <is>
          <t>nerolac.com</t>
        </is>
      </c>
      <c r="AK37" s="106" t="inlineStr">
        <is>
          <t>Direct</t>
        </is>
      </c>
      <c r="AL37" s="298" t="n">
        <v>0.03</v>
      </c>
      <c r="AM37" s="118" t="n">
        <v>38689.31</v>
      </c>
      <c r="AO37" s="106" t="inlineStr">
        <is>
          <t>nerolac.com</t>
        </is>
      </c>
      <c r="AP37" s="106" t="inlineStr">
        <is>
          <t>Direct</t>
        </is>
      </c>
      <c r="AQ37" s="298" t="n">
        <v>0.02</v>
      </c>
      <c r="AR37" s="118" t="n">
        <v>25685.03</v>
      </c>
      <c r="AT37" s="106" t="inlineStr">
        <is>
          <t>nerolac.com</t>
        </is>
      </c>
      <c r="AU37" s="106" t="inlineStr">
        <is>
          <t>Direct</t>
        </is>
      </c>
      <c r="AV37" s="298" t="n">
        <v>0.03</v>
      </c>
      <c r="AW37" s="118" t="n">
        <v>30094.48</v>
      </c>
      <c r="AY37" s="106" t="inlineStr">
        <is>
          <t>nerolac.com</t>
        </is>
      </c>
      <c r="AZ37" s="106" t="inlineStr">
        <is>
          <t>Direct</t>
        </is>
      </c>
      <c r="BA37" s="298" t="n">
        <v>0.03</v>
      </c>
      <c r="BB37" s="118" t="n">
        <v>37902.53</v>
      </c>
      <c r="BD37" s="106" t="inlineStr">
        <is>
          <t>nerolac.com</t>
        </is>
      </c>
      <c r="BE37" s="106" t="inlineStr">
        <is>
          <t>Direct</t>
        </is>
      </c>
      <c r="BF37" s="298" t="n">
        <v>0.03</v>
      </c>
      <c r="BG37" s="118" t="n">
        <v>28043.18</v>
      </c>
      <c r="BI37" s="106" t="inlineStr">
        <is>
          <t>nerolac.com</t>
        </is>
      </c>
      <c r="BJ37" s="106" t="inlineStr">
        <is>
          <t>Direct</t>
        </is>
      </c>
      <c r="BK37" s="298" t="n">
        <v>0.03</v>
      </c>
      <c r="BL37" s="118" t="n">
        <v>51020.97</v>
      </c>
      <c r="BN37" s="106" t="inlineStr">
        <is>
          <t>nerolac.com</t>
        </is>
      </c>
      <c r="BO37" s="106" t="inlineStr">
        <is>
          <t>Direct</t>
        </is>
      </c>
      <c r="BP37" s="298" t="n">
        <v>0.04</v>
      </c>
      <c r="BQ37" s="118" t="n">
        <v>54275.38</v>
      </c>
    </row>
    <row r="38">
      <c r="A38" s="136" t="inlineStr">
        <is>
          <t>asianpaints.com</t>
        </is>
      </c>
      <c r="B38" s="106" t="inlineStr">
        <is>
          <t>Display Ads</t>
        </is>
      </c>
      <c r="C38" s="298" t="n">
        <v>0.97</v>
      </c>
      <c r="D38" s="137" t="n">
        <v>22963.48</v>
      </c>
      <c r="F38" s="136" t="inlineStr">
        <is>
          <t>asianpaints.com</t>
        </is>
      </c>
      <c r="G38" s="106" t="inlineStr">
        <is>
          <t>Display Ads</t>
        </is>
      </c>
      <c r="H38" s="298" t="n">
        <v>0.74</v>
      </c>
      <c r="I38" s="137" t="n">
        <v>20043.86</v>
      </c>
      <c r="K38" s="136" t="inlineStr">
        <is>
          <t>asianpaints.com</t>
        </is>
      </c>
      <c r="L38" s="106" t="inlineStr">
        <is>
          <t>Display Ads</t>
        </is>
      </c>
      <c r="M38" s="298" t="n">
        <v>0.8</v>
      </c>
      <c r="N38" s="137" t="n">
        <v>16869.12</v>
      </c>
      <c r="P38" s="136" t="inlineStr">
        <is>
          <t>asianpaints.com</t>
        </is>
      </c>
      <c r="Q38" s="106" t="inlineStr">
        <is>
          <t>Display Ads</t>
        </is>
      </c>
      <c r="R38" s="298" t="n">
        <v>0.8</v>
      </c>
      <c r="S38" s="137" t="n">
        <v>22225.82</v>
      </c>
      <c r="U38" s="106" t="inlineStr">
        <is>
          <t>asianpaints.com</t>
        </is>
      </c>
      <c r="V38" s="106" t="inlineStr">
        <is>
          <t>Display Ads</t>
        </is>
      </c>
      <c r="W38" s="298" t="n">
        <v>0.88</v>
      </c>
      <c r="X38" s="118" t="n">
        <v>25632.11</v>
      </c>
      <c r="Z38" s="106" t="inlineStr">
        <is>
          <t>asianpaints.com</t>
        </is>
      </c>
      <c r="AA38" s="106" t="inlineStr">
        <is>
          <t>Display Ads</t>
        </is>
      </c>
      <c r="AB38" s="298" t="n">
        <v>0.93</v>
      </c>
      <c r="AC38" s="118" t="n">
        <v>23220.4</v>
      </c>
      <c r="AE38" s="106" t="inlineStr">
        <is>
          <t>asianpaints.com</t>
        </is>
      </c>
      <c r="AF38" s="106" t="inlineStr">
        <is>
          <t>Display Ads</t>
        </is>
      </c>
      <c r="AG38" s="298" t="n">
        <v>0.9</v>
      </c>
      <c r="AH38" s="118" t="n">
        <v>30775.71</v>
      </c>
      <c r="AJ38" s="106" t="inlineStr">
        <is>
          <t>asianpaints.com</t>
        </is>
      </c>
      <c r="AK38" s="106" t="inlineStr">
        <is>
          <t>Display Ads</t>
        </is>
      </c>
      <c r="AL38" s="298" t="n">
        <v>0.82</v>
      </c>
      <c r="AM38" s="118" t="n">
        <v>19860.58</v>
      </c>
      <c r="AO38" s="106" t="inlineStr">
        <is>
          <t>asianpaints.com</t>
        </is>
      </c>
      <c r="AP38" s="106" t="inlineStr">
        <is>
          <t>Display Ads</t>
        </is>
      </c>
      <c r="AQ38" s="298" t="n">
        <v>0.7</v>
      </c>
      <c r="AR38" s="118" t="n">
        <v>18258.76</v>
      </c>
      <c r="AT38" s="106" t="inlineStr">
        <is>
          <t>asianpaints.com</t>
        </is>
      </c>
      <c r="AU38" s="106" t="inlineStr">
        <is>
          <t>Display Ads</t>
        </is>
      </c>
      <c r="AV38" s="298" t="n">
        <v>0.93</v>
      </c>
      <c r="AW38" s="118" t="n">
        <v>16997.31</v>
      </c>
      <c r="AY38" s="106" t="inlineStr">
        <is>
          <t>asianpaints.com</t>
        </is>
      </c>
      <c r="AZ38" s="106" t="inlineStr">
        <is>
          <t>Display Ads</t>
        </is>
      </c>
      <c r="BA38" s="298" t="n">
        <v>0.9</v>
      </c>
      <c r="BB38" s="118" t="n">
        <v>16534.16</v>
      </c>
      <c r="BD38" s="106" t="inlineStr">
        <is>
          <t>asianpaints.com</t>
        </is>
      </c>
      <c r="BE38" s="106" t="inlineStr">
        <is>
          <t>Display Ads</t>
        </is>
      </c>
      <c r="BF38" s="298" t="n">
        <v>0.84</v>
      </c>
      <c r="BG38" s="118" t="n">
        <v>17770.54</v>
      </c>
      <c r="BI38" s="106" t="inlineStr">
        <is>
          <t>asianpaints.com</t>
        </is>
      </c>
      <c r="BJ38" s="106" t="inlineStr">
        <is>
          <t>Display Ads</t>
        </is>
      </c>
      <c r="BK38" s="298" t="n">
        <v>0.84</v>
      </c>
      <c r="BL38" s="118" t="n">
        <v>135801.27</v>
      </c>
      <c r="BN38" s="106" t="inlineStr">
        <is>
          <t>asianpaints.com</t>
        </is>
      </c>
      <c r="BO38" s="106" t="inlineStr">
        <is>
          <t>Display Ads</t>
        </is>
      </c>
      <c r="BP38" s="298" t="n">
        <v>0.65</v>
      </c>
      <c r="BQ38" s="118" t="n">
        <v>88509.86</v>
      </c>
    </row>
    <row r="39">
      <c r="A39" s="136" t="inlineStr">
        <is>
          <t>birlaopus.com</t>
        </is>
      </c>
      <c r="B39" s="106" t="inlineStr">
        <is>
          <t>Display Ads</t>
        </is>
      </c>
      <c r="C39" s="298" t="n">
        <v>0.07000000000000001</v>
      </c>
      <c r="D39" s="137" t="n">
        <v>2040.79</v>
      </c>
      <c r="F39" s="136" t="inlineStr">
        <is>
          <t>birlaopus.com</t>
        </is>
      </c>
      <c r="G39" s="106" t="inlineStr">
        <is>
          <t>Display Ads</t>
        </is>
      </c>
      <c r="H39" s="298" t="n">
        <v>0.06</v>
      </c>
      <c r="I39" s="137" t="n">
        <v>1489.4</v>
      </c>
      <c r="K39" s="136" t="inlineStr">
        <is>
          <t>birlaopus.com</t>
        </is>
      </c>
      <c r="L39" s="106" t="inlineStr">
        <is>
          <t>Display Ads</t>
        </is>
      </c>
      <c r="M39" s="298" t="n">
        <v>0.05</v>
      </c>
      <c r="N39" s="137" t="n">
        <v>1218.17</v>
      </c>
      <c r="P39" s="136" t="inlineStr">
        <is>
          <t>birlaopus.com</t>
        </is>
      </c>
      <c r="Q39" s="106" t="inlineStr">
        <is>
          <t>Display Ads</t>
        </is>
      </c>
      <c r="R39" s="298" t="n">
        <v>0.06</v>
      </c>
      <c r="S39" s="137" t="n">
        <v>1121.79</v>
      </c>
      <c r="U39" s="106" t="inlineStr">
        <is>
          <t>birlaopus.com</t>
        </is>
      </c>
      <c r="V39" s="106" t="inlineStr">
        <is>
          <t>Display Ads</t>
        </is>
      </c>
      <c r="W39" s="298" t="n">
        <v>0.08</v>
      </c>
      <c r="X39" s="118" t="n">
        <v>2823.21</v>
      </c>
      <c r="Z39" s="106" t="inlineStr">
        <is>
          <t>birlaopus.com</t>
        </is>
      </c>
      <c r="AA39" s="106" t="inlineStr">
        <is>
          <t>Display Ads</t>
        </is>
      </c>
      <c r="AB39" s="298" t="n">
        <v>0.05</v>
      </c>
      <c r="AC39" s="118" t="n">
        <v>1949.78</v>
      </c>
      <c r="AE39" s="106" t="inlineStr">
        <is>
          <t>birlaopus.com</t>
        </is>
      </c>
      <c r="AF39" s="106" t="inlineStr">
        <is>
          <t>Display Ads</t>
        </is>
      </c>
      <c r="AG39" s="298" t="n">
        <v>0.06</v>
      </c>
      <c r="AH39" s="118" t="n">
        <v>2774.28</v>
      </c>
      <c r="AJ39" s="106" t="inlineStr">
        <is>
          <t>birlaopus.com</t>
        </is>
      </c>
      <c r="AK39" s="106" t="inlineStr">
        <is>
          <t>Display Ads</t>
        </is>
      </c>
      <c r="AL39" s="298" t="n">
        <v>0.05</v>
      </c>
      <c r="AM39" s="118" t="n">
        <v>948.3099999999999</v>
      </c>
      <c r="AO39" s="106" t="inlineStr">
        <is>
          <t>birlaopus.com</t>
        </is>
      </c>
      <c r="AP39" s="106" t="inlineStr">
        <is>
          <t>Display Ads</t>
        </is>
      </c>
      <c r="AQ39" s="298" t="n">
        <v>0.13</v>
      </c>
      <c r="AR39" s="118" t="n">
        <v>3393.9</v>
      </c>
      <c r="AT39" s="106" t="inlineStr">
        <is>
          <t>birlaopus.com</t>
        </is>
      </c>
      <c r="AU39" s="106" t="inlineStr">
        <is>
          <t>Display Ads</t>
        </is>
      </c>
      <c r="AV39" s="298" t="n">
        <v>0.08</v>
      </c>
      <c r="AW39" s="118" t="n">
        <v>1393.47</v>
      </c>
      <c r="AY39" s="106" t="inlineStr">
        <is>
          <t>birlaopus.com</t>
        </is>
      </c>
      <c r="AZ39" s="106" t="inlineStr">
        <is>
          <t>Display Ads</t>
        </is>
      </c>
      <c r="BA39" s="298" t="n">
        <v>0.06</v>
      </c>
      <c r="BB39" s="118" t="n">
        <v>796.26</v>
      </c>
      <c r="BD39" s="106" t="inlineStr">
        <is>
          <t>birlaopus.com</t>
        </is>
      </c>
      <c r="BE39" s="106" t="inlineStr">
        <is>
          <t>Display Ads</t>
        </is>
      </c>
      <c r="BF39" s="298" t="n">
        <v>0.05</v>
      </c>
      <c r="BG39" s="118" t="n">
        <v>727.38</v>
      </c>
      <c r="BI39" s="106" t="inlineStr">
        <is>
          <t>birlaopus.com</t>
        </is>
      </c>
      <c r="BJ39" s="106" t="inlineStr">
        <is>
          <t>Display Ads</t>
        </is>
      </c>
      <c r="BK39" s="298" t="n">
        <v>0.07000000000000001</v>
      </c>
      <c r="BL39" s="118" t="n">
        <v>12258.19</v>
      </c>
      <c r="BN39" s="106" t="inlineStr">
        <is>
          <t>birlaopus.com</t>
        </is>
      </c>
      <c r="BO39" s="106" t="inlineStr">
        <is>
          <t>Display Ads</t>
        </is>
      </c>
      <c r="BP39" s="298" t="n">
        <v>0.04</v>
      </c>
      <c r="BQ39" s="118" t="n">
        <v>5770.18</v>
      </c>
    </row>
    <row r="40">
      <c r="A40" s="136" t="inlineStr">
        <is>
          <t>bergerpaints.com</t>
        </is>
      </c>
      <c r="B40" s="106" t="inlineStr">
        <is>
          <t>Display Ads</t>
        </is>
      </c>
      <c r="C40" s="298" t="n">
        <v>0.05</v>
      </c>
      <c r="D40" s="137" t="n">
        <v>1153.08</v>
      </c>
      <c r="F40" s="136" t="inlineStr">
        <is>
          <t>bergerpaints.com</t>
        </is>
      </c>
      <c r="G40" s="106" t="inlineStr">
        <is>
          <t>Display Ads</t>
        </is>
      </c>
      <c r="H40" s="298" t="n">
        <v>0.06</v>
      </c>
      <c r="I40" s="137" t="n">
        <v>1294.12</v>
      </c>
      <c r="K40" s="136" t="inlineStr">
        <is>
          <t>bergerpaints.com</t>
        </is>
      </c>
      <c r="L40" s="106" t="inlineStr">
        <is>
          <t>Display Ads</t>
        </is>
      </c>
      <c r="M40" s="298" t="n">
        <v>0.06</v>
      </c>
      <c r="N40" s="137" t="n">
        <v>1317.29</v>
      </c>
      <c r="P40" s="136" t="inlineStr">
        <is>
          <t>bergerpaints.com</t>
        </is>
      </c>
      <c r="Q40" s="106" t="inlineStr">
        <is>
          <t>Display Ads</t>
        </is>
      </c>
      <c r="R40" s="298" t="n">
        <v>0.08</v>
      </c>
      <c r="S40" s="137" t="n">
        <v>1900.3</v>
      </c>
      <c r="U40" s="106" t="inlineStr">
        <is>
          <t>bergerpaints.com</t>
        </is>
      </c>
      <c r="V40" s="106" t="inlineStr">
        <is>
          <t>Display Ads</t>
        </is>
      </c>
      <c r="W40" s="298" t="n">
        <v>0.07000000000000001</v>
      </c>
      <c r="X40" s="118" t="n">
        <v>2395.98</v>
      </c>
      <c r="Z40" s="106" t="inlineStr">
        <is>
          <t>bergerpaints.com</t>
        </is>
      </c>
      <c r="AA40" s="106" t="inlineStr">
        <is>
          <t>Display Ads</t>
        </is>
      </c>
      <c r="AB40" s="298" t="n">
        <v>0.11</v>
      </c>
      <c r="AC40" s="118" t="n">
        <v>3424.6</v>
      </c>
      <c r="AE40" s="106" t="inlineStr">
        <is>
          <t>bergerpaints.com</t>
        </is>
      </c>
      <c r="AF40" s="106" t="inlineStr">
        <is>
          <t>Display Ads</t>
        </is>
      </c>
      <c r="AG40" s="298" t="n">
        <v>0.11</v>
      </c>
      <c r="AH40" s="118" t="n">
        <v>4105.3</v>
      </c>
      <c r="AJ40" s="106" t="inlineStr">
        <is>
          <t>bergerpaints.com</t>
        </is>
      </c>
      <c r="AK40" s="106" t="inlineStr">
        <is>
          <t>Display Ads</t>
        </is>
      </c>
      <c r="AL40" s="298" t="n">
        <v>0.12</v>
      </c>
      <c r="AM40" s="118" t="n">
        <v>2250.19</v>
      </c>
      <c r="AO40" s="106" t="inlineStr">
        <is>
          <t>bergerpaints.com</t>
        </is>
      </c>
      <c r="AP40" s="106" t="inlineStr">
        <is>
          <t>Display Ads</t>
        </is>
      </c>
      <c r="AQ40" s="298" t="n">
        <v>0.09</v>
      </c>
      <c r="AR40" s="118" t="n">
        <v>2293.55</v>
      </c>
      <c r="AT40" s="106" t="inlineStr">
        <is>
          <t>bergerpaints.com</t>
        </is>
      </c>
      <c r="AU40" s="106" t="inlineStr">
        <is>
          <t>Display Ads</t>
        </is>
      </c>
      <c r="AV40" s="298" t="n">
        <v>0.07000000000000001</v>
      </c>
      <c r="AW40" s="118" t="n">
        <v>1294.43</v>
      </c>
      <c r="AY40" s="106" t="inlineStr">
        <is>
          <t>bergerpaints.com</t>
        </is>
      </c>
      <c r="AZ40" s="106" t="inlineStr">
        <is>
          <t>Display Ads</t>
        </is>
      </c>
      <c r="BA40" s="298" t="n">
        <v>0.07000000000000001</v>
      </c>
      <c r="BB40" s="118" t="n">
        <v>1412.24</v>
      </c>
      <c r="BD40" s="106" t="inlineStr">
        <is>
          <t>bergerpaints.com</t>
        </is>
      </c>
      <c r="BE40" s="106" t="inlineStr">
        <is>
          <t>Display Ads</t>
        </is>
      </c>
      <c r="BF40" s="298" t="n">
        <v>0.07000000000000001</v>
      </c>
      <c r="BG40" s="118" t="n">
        <v>1401.72</v>
      </c>
      <c r="BI40" s="106" t="inlineStr">
        <is>
          <t>bergerpaints.com</t>
        </is>
      </c>
      <c r="BJ40" s="106" t="inlineStr">
        <is>
          <t>Display Ads</t>
        </is>
      </c>
      <c r="BK40" s="298" t="n">
        <v>0.11</v>
      </c>
      <c r="BL40" s="118" t="n">
        <v>18291.51</v>
      </c>
      <c r="BN40" s="106" t="inlineStr">
        <is>
          <t>bergerpaints.com</t>
        </is>
      </c>
      <c r="BO40" s="106" t="inlineStr">
        <is>
          <t>Display Ads</t>
        </is>
      </c>
      <c r="BP40" s="298" t="n">
        <v>0.27</v>
      </c>
      <c r="BQ40" s="118" t="n">
        <v>32362.49</v>
      </c>
    </row>
    <row r="41">
      <c r="A41" s="136" t="inlineStr">
        <is>
          <t>nerolac.com</t>
        </is>
      </c>
      <c r="B41" s="106" t="inlineStr">
        <is>
          <t>Display Ads</t>
        </is>
      </c>
      <c r="C41" s="298" t="n">
        <v>0.03</v>
      </c>
      <c r="D41" s="137" t="n">
        <v>717.1900000000001</v>
      </c>
      <c r="F41" s="136" t="inlineStr">
        <is>
          <t>nerolac.com</t>
        </is>
      </c>
      <c r="G41" s="106" t="inlineStr">
        <is>
          <t>Display Ads</t>
        </is>
      </c>
      <c r="H41" s="298" t="n">
        <v>0.02</v>
      </c>
      <c r="I41" s="137" t="n">
        <v>607.1</v>
      </c>
      <c r="K41" s="136" t="inlineStr">
        <is>
          <t>nerolac.com</t>
        </is>
      </c>
      <c r="L41" s="106" t="inlineStr">
        <is>
          <t>Display Ads</t>
        </is>
      </c>
      <c r="M41" s="298" t="n">
        <v>0.06</v>
      </c>
      <c r="N41" s="137" t="n">
        <v>1664.25</v>
      </c>
      <c r="P41" s="136" t="inlineStr">
        <is>
          <t>nerolac.com</t>
        </is>
      </c>
      <c r="Q41" s="106" t="inlineStr">
        <is>
          <t>Display Ads</t>
        </is>
      </c>
      <c r="R41" s="298" t="n">
        <v>0.04</v>
      </c>
      <c r="S41" s="137" t="n">
        <v>1036.31</v>
      </c>
      <c r="U41" s="106" t="inlineStr">
        <is>
          <t>nerolac.com</t>
        </is>
      </c>
      <c r="V41" s="106" t="inlineStr">
        <is>
          <t>Display Ads</t>
        </is>
      </c>
      <c r="W41" s="298" t="n">
        <v>0.02</v>
      </c>
      <c r="X41" s="118" t="n">
        <v>465.43</v>
      </c>
      <c r="Z41" s="106" t="inlineStr">
        <is>
          <t>nerolac.com</t>
        </is>
      </c>
      <c r="AA41" s="106" t="inlineStr">
        <is>
          <t>Display Ads</t>
        </is>
      </c>
      <c r="AB41" s="298" t="n">
        <v>0.02</v>
      </c>
      <c r="AC41" s="118" t="n">
        <v>823.64</v>
      </c>
      <c r="AE41" s="106" t="inlineStr">
        <is>
          <t>nerolac.com</t>
        </is>
      </c>
      <c r="AF41" s="106" t="inlineStr">
        <is>
          <t>Display Ads</t>
        </is>
      </c>
      <c r="AG41" s="298" t="n">
        <v>0.02</v>
      </c>
      <c r="AH41" s="118" t="n">
        <v>987.1900000000001</v>
      </c>
      <c r="AJ41" s="106" t="inlineStr">
        <is>
          <t>nerolac.com</t>
        </is>
      </c>
      <c r="AK41" s="106" t="inlineStr">
        <is>
          <t>Display Ads</t>
        </is>
      </c>
      <c r="AL41" s="298" t="n">
        <v>0.01</v>
      </c>
      <c r="AM41" s="118" t="n">
        <v>258.11</v>
      </c>
      <c r="AO41" s="106" t="inlineStr">
        <is>
          <t>nerolac.com</t>
        </is>
      </c>
      <c r="AP41" s="106" t="inlineStr">
        <is>
          <t>Display Ads</t>
        </is>
      </c>
      <c r="AQ41" s="298" t="n">
        <v>0.01</v>
      </c>
      <c r="AR41" s="118" t="n">
        <v>164.82</v>
      </c>
      <c r="AT41" s="106" t="inlineStr">
        <is>
          <t>nerolac.com</t>
        </is>
      </c>
      <c r="AU41" s="106" t="inlineStr">
        <is>
          <t>Display Ads</t>
        </is>
      </c>
      <c r="AV41" s="298" t="n">
        <v>0.01</v>
      </c>
      <c r="AW41" s="118" t="n">
        <v>177.51</v>
      </c>
      <c r="AY41" s="106" t="inlineStr">
        <is>
          <t>nerolac.com</t>
        </is>
      </c>
      <c r="AZ41" s="106" t="inlineStr">
        <is>
          <t>Display Ads</t>
        </is>
      </c>
      <c r="BA41" s="298" t="n">
        <v>0.03</v>
      </c>
      <c r="BB41" s="118" t="n">
        <v>509.86</v>
      </c>
      <c r="BD41" s="106" t="inlineStr">
        <is>
          <t>nerolac.com</t>
        </is>
      </c>
      <c r="BE41" s="106" t="inlineStr">
        <is>
          <t>Display Ads</t>
        </is>
      </c>
      <c r="BF41" s="298" t="n">
        <v>0.02</v>
      </c>
      <c r="BG41" s="118" t="n">
        <v>468.61</v>
      </c>
      <c r="BI41" s="106" t="inlineStr">
        <is>
          <t>nerolac.com</t>
        </is>
      </c>
      <c r="BJ41" s="106" t="inlineStr">
        <is>
          <t>Display Ads</t>
        </is>
      </c>
      <c r="BK41" s="298" t="n">
        <v>0.04</v>
      </c>
      <c r="BL41" s="118" t="n">
        <v>5925.85</v>
      </c>
      <c r="BN41" s="106" t="inlineStr">
        <is>
          <t>nerolac.com</t>
        </is>
      </c>
      <c r="BO41" s="106" t="inlineStr">
        <is>
          <t>Display Ads</t>
        </is>
      </c>
      <c r="BP41" s="298" t="n">
        <v>0.03</v>
      </c>
      <c r="BQ41" s="118" t="n">
        <v>5207.02</v>
      </c>
    </row>
    <row r="42">
      <c r="A42" s="136" t="inlineStr">
        <is>
          <t>asianpaints.com</t>
        </is>
      </c>
      <c r="B42" s="106" t="inlineStr">
        <is>
          <t>Email</t>
        </is>
      </c>
      <c r="C42" s="298" t="n">
        <v>0.75</v>
      </c>
      <c r="D42" s="137" t="n">
        <v>491.06</v>
      </c>
      <c r="F42" s="136" t="inlineStr">
        <is>
          <t>asianpaints.com</t>
        </is>
      </c>
      <c r="G42" s="106" t="inlineStr">
        <is>
          <t>Email</t>
        </is>
      </c>
      <c r="H42" s="298" t="n">
        <v>0.86</v>
      </c>
      <c r="I42" s="137" t="n">
        <v>440.29</v>
      </c>
      <c r="K42" s="136" t="inlineStr">
        <is>
          <t>asianpaints.com</t>
        </is>
      </c>
      <c r="L42" s="106" t="inlineStr">
        <is>
          <t>Email</t>
        </is>
      </c>
      <c r="M42" s="298" t="n">
        <v>0.86</v>
      </c>
      <c r="N42" s="137" t="n">
        <v>292.34</v>
      </c>
      <c r="P42" s="136" t="inlineStr">
        <is>
          <t>asianpaints.com</t>
        </is>
      </c>
      <c r="Q42" s="106" t="inlineStr">
        <is>
          <t>Email</t>
        </is>
      </c>
      <c r="R42" s="298" t="n">
        <v>0.78</v>
      </c>
      <c r="S42" s="137" t="n">
        <v>408.51</v>
      </c>
      <c r="U42" s="106" t="inlineStr">
        <is>
          <t>asianpaints.com</t>
        </is>
      </c>
      <c r="V42" s="106" t="inlineStr">
        <is>
          <t>Email</t>
        </is>
      </c>
      <c r="W42" s="298" t="n">
        <v>0.78</v>
      </c>
      <c r="X42" s="118" t="n">
        <v>435.64</v>
      </c>
      <c r="Z42" s="106" t="inlineStr">
        <is>
          <t>asianpaints.com</t>
        </is>
      </c>
      <c r="AA42" s="106" t="inlineStr">
        <is>
          <t>Email</t>
        </is>
      </c>
      <c r="AB42" s="298" t="n">
        <v>0.88</v>
      </c>
      <c r="AC42" s="118" t="n">
        <v>289.24</v>
      </c>
      <c r="AE42" s="106" t="inlineStr">
        <is>
          <t>asianpaints.com</t>
        </is>
      </c>
      <c r="AF42" s="106" t="inlineStr">
        <is>
          <t>Email</t>
        </is>
      </c>
      <c r="AG42" s="298" t="n">
        <v>0.7</v>
      </c>
      <c r="AH42" s="118" t="n">
        <v>346.05</v>
      </c>
      <c r="AJ42" s="106" t="inlineStr">
        <is>
          <t>asianpaints.com</t>
        </is>
      </c>
      <c r="AK42" s="106" t="inlineStr">
        <is>
          <t>Email</t>
        </is>
      </c>
      <c r="AL42" s="298" t="n">
        <v>0.8100000000000001</v>
      </c>
      <c r="AM42" s="118" t="n">
        <v>368.37</v>
      </c>
      <c r="AO42" s="106" t="inlineStr">
        <is>
          <t>asianpaints.com</t>
        </is>
      </c>
      <c r="AP42" s="106" t="inlineStr">
        <is>
          <t>Email</t>
        </is>
      </c>
      <c r="AQ42" s="298" t="n">
        <v>0.77</v>
      </c>
      <c r="AR42" s="118" t="n">
        <v>294.46</v>
      </c>
      <c r="AT42" s="106" t="inlineStr">
        <is>
          <t>asianpaints.com</t>
        </is>
      </c>
      <c r="AU42" s="106" t="inlineStr">
        <is>
          <t>Email</t>
        </is>
      </c>
      <c r="AV42" s="298" t="n">
        <v>0.98</v>
      </c>
      <c r="AW42" s="118" t="n">
        <v>306.68</v>
      </c>
      <c r="AY42" s="106" t="inlineStr">
        <is>
          <t>asianpaints.com</t>
        </is>
      </c>
      <c r="AZ42" s="106" t="inlineStr">
        <is>
          <t>Email</t>
        </is>
      </c>
      <c r="BA42" s="298" t="n">
        <v>0.8</v>
      </c>
      <c r="BB42" s="118" t="n">
        <v>333.99</v>
      </c>
      <c r="BD42" s="106" t="inlineStr">
        <is>
          <t>asianpaints.com</t>
        </is>
      </c>
      <c r="BE42" s="106" t="inlineStr">
        <is>
          <t>Email</t>
        </is>
      </c>
      <c r="BF42" s="298" t="n">
        <v>0.9</v>
      </c>
      <c r="BG42" s="118" t="n">
        <v>555.8099999999999</v>
      </c>
      <c r="BI42" s="106" t="inlineStr">
        <is>
          <t>asianpaints.com</t>
        </is>
      </c>
      <c r="BJ42" s="106" t="inlineStr">
        <is>
          <t>Email</t>
        </is>
      </c>
      <c r="BK42" s="298" t="n">
        <v>0.84</v>
      </c>
      <c r="BL42" s="118" t="n">
        <v>92291.66</v>
      </c>
      <c r="BN42" s="106" t="inlineStr">
        <is>
          <t>asianpaints.com</t>
        </is>
      </c>
      <c r="BO42" s="106" t="inlineStr">
        <is>
          <t>Email</t>
        </is>
      </c>
      <c r="BP42" s="298" t="n">
        <v>0.73</v>
      </c>
      <c r="BQ42" s="118" t="n">
        <v>58506.38</v>
      </c>
    </row>
    <row r="43">
      <c r="A43" s="136" t="inlineStr">
        <is>
          <t>birlaopus.com</t>
        </is>
      </c>
      <c r="B43" s="106" t="inlineStr">
        <is>
          <t>Email</t>
        </is>
      </c>
      <c r="C43" s="298" t="n">
        <v>0.06</v>
      </c>
      <c r="D43" s="137" t="n">
        <v>33.15</v>
      </c>
      <c r="F43" s="136" t="inlineStr">
        <is>
          <t>birlaopus.com</t>
        </is>
      </c>
      <c r="G43" s="106" t="inlineStr">
        <is>
          <t>Email</t>
        </is>
      </c>
      <c r="H43" s="298" t="n">
        <v>0.08</v>
      </c>
      <c r="I43" s="137" t="n">
        <v>41.36</v>
      </c>
      <c r="K43" s="136" t="inlineStr">
        <is>
          <t>birlaopus.com</t>
        </is>
      </c>
      <c r="L43" s="106" t="inlineStr">
        <is>
          <t>Email</t>
        </is>
      </c>
      <c r="M43" s="298" t="n">
        <v>0.04</v>
      </c>
      <c r="N43" s="137" t="n">
        <v>19.28</v>
      </c>
      <c r="P43" s="136" t="inlineStr">
        <is>
          <t>birlaopus.com</t>
        </is>
      </c>
      <c r="Q43" s="106" t="inlineStr">
        <is>
          <t>Email</t>
        </is>
      </c>
      <c r="R43" s="298" t="n">
        <v>0.02</v>
      </c>
      <c r="S43" s="137" t="n">
        <v>10.11</v>
      </c>
      <c r="U43" s="106" t="inlineStr">
        <is>
          <t>birlaopus.com</t>
        </is>
      </c>
      <c r="V43" s="106" t="inlineStr">
        <is>
          <t>Email</t>
        </is>
      </c>
      <c r="W43" s="298" t="n">
        <v>0.16</v>
      </c>
      <c r="X43" s="118" t="n">
        <v>76.06</v>
      </c>
      <c r="Z43" s="106" t="inlineStr">
        <is>
          <t>birlaopus.com</t>
        </is>
      </c>
      <c r="AA43" s="106" t="inlineStr">
        <is>
          <t>Email</t>
        </is>
      </c>
      <c r="AB43" s="298" t="n">
        <v>0.06</v>
      </c>
      <c r="AC43" s="118" t="n">
        <v>23.24</v>
      </c>
      <c r="AE43" s="106" t="inlineStr">
        <is>
          <t>birlaopus.com</t>
        </is>
      </c>
      <c r="AF43" s="106" t="inlineStr">
        <is>
          <t>Email</t>
        </is>
      </c>
      <c r="AG43" s="298" t="n">
        <v>0.05</v>
      </c>
      <c r="AH43" s="118" t="n">
        <v>24.75</v>
      </c>
      <c r="AJ43" s="106" t="inlineStr">
        <is>
          <t>birlaopus.com</t>
        </is>
      </c>
      <c r="AK43" s="106" t="inlineStr">
        <is>
          <t>Email</t>
        </is>
      </c>
      <c r="AL43" s="298" t="n">
        <v>0.09</v>
      </c>
      <c r="AM43" s="118" t="n">
        <v>41.99</v>
      </c>
      <c r="AO43" s="106" t="inlineStr">
        <is>
          <t>birlaopus.com</t>
        </is>
      </c>
      <c r="AP43" s="106" t="inlineStr">
        <is>
          <t>Email</t>
        </is>
      </c>
      <c r="AQ43" s="298" t="n">
        <v>0.16</v>
      </c>
      <c r="AR43" s="118" t="n">
        <v>56.34</v>
      </c>
      <c r="AT43" s="106" t="inlineStr">
        <is>
          <t>birlaopus.com</t>
        </is>
      </c>
      <c r="AU43" s="106" t="inlineStr">
        <is>
          <t>Email</t>
        </is>
      </c>
      <c r="AV43" s="298" t="n">
        <v>0.05</v>
      </c>
      <c r="AW43" s="118" t="n">
        <v>20.01</v>
      </c>
      <c r="AY43" s="106" t="inlineStr">
        <is>
          <t>birlaopus.com</t>
        </is>
      </c>
      <c r="AZ43" s="106" t="inlineStr">
        <is>
          <t>Email</t>
        </is>
      </c>
      <c r="BA43" s="298" t="n">
        <v>0.04</v>
      </c>
      <c r="BB43" s="118" t="n">
        <v>13.02</v>
      </c>
      <c r="BD43" s="106" t="inlineStr">
        <is>
          <t>birlaopus.com</t>
        </is>
      </c>
      <c r="BE43" s="106" t="inlineStr">
        <is>
          <t>Email</t>
        </is>
      </c>
      <c r="BF43" s="298" t="n">
        <v>0.03</v>
      </c>
      <c r="BG43" s="118" t="n">
        <v>18.4</v>
      </c>
      <c r="BI43" s="106" t="inlineStr">
        <is>
          <t>birlaopus.com</t>
        </is>
      </c>
      <c r="BJ43" s="106" t="inlineStr">
        <is>
          <t>Email</t>
        </is>
      </c>
      <c r="BK43" s="298" t="n">
        <v>0.07000000000000001</v>
      </c>
      <c r="BL43" s="118" t="n">
        <v>7459.2</v>
      </c>
      <c r="BN43" s="106" t="inlineStr">
        <is>
          <t>birlaopus.com</t>
        </is>
      </c>
      <c r="BO43" s="106" t="inlineStr">
        <is>
          <t>Email</t>
        </is>
      </c>
      <c r="BP43" s="298" t="n">
        <v>0.04</v>
      </c>
      <c r="BQ43" s="118" t="n">
        <v>3337.4</v>
      </c>
    </row>
    <row r="44">
      <c r="A44" s="136" t="inlineStr">
        <is>
          <t>bergerpaints.com</t>
        </is>
      </c>
      <c r="B44" s="106" t="inlineStr">
        <is>
          <t>Email</t>
        </is>
      </c>
      <c r="C44" s="298" t="n">
        <v>0.22</v>
      </c>
      <c r="D44" s="137" t="n">
        <v>104.88</v>
      </c>
      <c r="F44" s="136" t="inlineStr">
        <is>
          <t>bergerpaints.com</t>
        </is>
      </c>
      <c r="G44" s="106" t="inlineStr">
        <is>
          <t>Email</t>
        </is>
      </c>
      <c r="H44" s="298" t="n">
        <v>0.13</v>
      </c>
      <c r="I44" s="137" t="n">
        <v>68.84999999999999</v>
      </c>
      <c r="K44" s="136" t="inlineStr">
        <is>
          <t>bergerpaints.com</t>
        </is>
      </c>
      <c r="L44" s="106" t="inlineStr">
        <is>
          <t>Email</t>
        </is>
      </c>
      <c r="M44" s="298" t="n">
        <v>0.09</v>
      </c>
      <c r="N44" s="137" t="n">
        <v>28.04</v>
      </c>
      <c r="P44" s="136" t="inlineStr">
        <is>
          <t>bergerpaints.com</t>
        </is>
      </c>
      <c r="Q44" s="106" t="inlineStr">
        <is>
          <t>Email</t>
        </is>
      </c>
      <c r="R44" s="298" t="n">
        <v>0.04</v>
      </c>
      <c r="S44" s="137" t="n">
        <v>19.6</v>
      </c>
      <c r="U44" s="106" t="inlineStr">
        <is>
          <t>bergerpaints.com</t>
        </is>
      </c>
      <c r="V44" s="106" t="inlineStr">
        <is>
          <t>Email</t>
        </is>
      </c>
      <c r="W44" s="298" t="n">
        <v>0.04</v>
      </c>
      <c r="X44" s="118" t="n">
        <v>18.89</v>
      </c>
      <c r="Z44" s="106" t="inlineStr">
        <is>
          <t>bergerpaints.com</t>
        </is>
      </c>
      <c r="AA44" s="106" t="inlineStr">
        <is>
          <t>Email</t>
        </is>
      </c>
      <c r="AB44" s="298" t="n">
        <v>0.07000000000000001</v>
      </c>
      <c r="AC44" s="118" t="n">
        <v>18.78</v>
      </c>
      <c r="AE44" s="106" t="inlineStr">
        <is>
          <t>bergerpaints.com</t>
        </is>
      </c>
      <c r="AF44" s="106" t="inlineStr">
        <is>
          <t>Email</t>
        </is>
      </c>
      <c r="AG44" s="298" t="n">
        <v>0.05</v>
      </c>
      <c r="AH44" s="118" t="n">
        <v>20.9</v>
      </c>
      <c r="AJ44" s="106" t="inlineStr">
        <is>
          <t>bergerpaints.com</t>
        </is>
      </c>
      <c r="AK44" s="106" t="inlineStr">
        <is>
          <t>Email</t>
        </is>
      </c>
      <c r="AL44" s="298" t="n">
        <v>0.06</v>
      </c>
      <c r="AM44" s="118" t="n">
        <v>18.86</v>
      </c>
      <c r="AO44" s="106" t="inlineStr">
        <is>
          <t>bergerpaints.com</t>
        </is>
      </c>
      <c r="AP44" s="106" t="inlineStr">
        <is>
          <t>Email</t>
        </is>
      </c>
      <c r="AQ44" s="298" t="n">
        <v>0.05</v>
      </c>
      <c r="AR44" s="118" t="n">
        <v>21.69</v>
      </c>
      <c r="AT44" s="106" t="inlineStr">
        <is>
          <t>bergerpaints.com</t>
        </is>
      </c>
      <c r="AU44" s="106" t="inlineStr">
        <is>
          <t>Email</t>
        </is>
      </c>
      <c r="AV44" s="298" t="n">
        <v>0.05</v>
      </c>
      <c r="AW44" s="118" t="n">
        <v>23.01</v>
      </c>
      <c r="AY44" s="106" t="inlineStr">
        <is>
          <t>bergerpaints.com</t>
        </is>
      </c>
      <c r="AZ44" s="106" t="inlineStr">
        <is>
          <t>Email</t>
        </is>
      </c>
      <c r="BA44" s="298" t="n">
        <v>0.15</v>
      </c>
      <c r="BB44" s="118" t="n">
        <v>51.52</v>
      </c>
      <c r="BD44" s="106" t="inlineStr">
        <is>
          <t>bergerpaints.com</t>
        </is>
      </c>
      <c r="BE44" s="106" t="inlineStr">
        <is>
          <t>Email</t>
        </is>
      </c>
      <c r="BF44" s="298" t="n">
        <v>0.05</v>
      </c>
      <c r="BG44" s="118" t="n">
        <v>30.15</v>
      </c>
      <c r="BI44" s="106" t="inlineStr">
        <is>
          <t>bergerpaints.com</t>
        </is>
      </c>
      <c r="BJ44" s="106" t="inlineStr">
        <is>
          <t>Email</t>
        </is>
      </c>
      <c r="BK44" s="298" t="n">
        <v>0.02</v>
      </c>
      <c r="BL44" s="118" t="n">
        <v>2103.23</v>
      </c>
      <c r="BN44" s="106" t="inlineStr">
        <is>
          <t>bergerpaints.com</t>
        </is>
      </c>
      <c r="BO44" s="106" t="inlineStr">
        <is>
          <t>Email</t>
        </is>
      </c>
      <c r="BP44" s="298" t="n">
        <v>1</v>
      </c>
      <c r="BQ44" s="118" t="n">
        <v>0</v>
      </c>
    </row>
    <row r="45">
      <c r="A45" s="136" t="inlineStr">
        <is>
          <t>nerolac.com</t>
        </is>
      </c>
      <c r="B45" s="106" t="inlineStr">
        <is>
          <t>Email</t>
        </is>
      </c>
      <c r="C45" s="298" t="n">
        <v>0.01</v>
      </c>
      <c r="D45" s="137" t="n">
        <v>8.529999999999999</v>
      </c>
      <c r="F45" s="136" t="inlineStr">
        <is>
          <t>nerolac.com</t>
        </is>
      </c>
      <c r="G45" s="106" t="inlineStr">
        <is>
          <t>Email</t>
        </is>
      </c>
      <c r="H45" s="298" t="n">
        <v>0.01</v>
      </c>
      <c r="I45" s="137" t="n">
        <v>5.8</v>
      </c>
      <c r="K45" s="136" t="inlineStr">
        <is>
          <t>nerolac.com</t>
        </is>
      </c>
      <c r="L45" s="106" t="inlineStr">
        <is>
          <t>Email</t>
        </is>
      </c>
      <c r="M45" s="298" t="n">
        <v>0.01</v>
      </c>
      <c r="N45" s="137" t="n">
        <v>5.32</v>
      </c>
      <c r="P45" s="136" t="inlineStr">
        <is>
          <t>nerolac.com</t>
        </is>
      </c>
      <c r="Q45" s="106" t="inlineStr">
        <is>
          <t>Email</t>
        </is>
      </c>
      <c r="R45" s="298" t="n">
        <v>0.01</v>
      </c>
      <c r="S45" s="137" t="n">
        <v>3.94</v>
      </c>
      <c r="U45" s="106" t="inlineStr">
        <is>
          <t>nerolac.com</t>
        </is>
      </c>
      <c r="V45" s="106" t="inlineStr">
        <is>
          <t>Email</t>
        </is>
      </c>
      <c r="W45" s="298" t="n">
        <v>0.01</v>
      </c>
      <c r="X45" s="118" t="n">
        <v>3.86</v>
      </c>
      <c r="Z45" s="106" t="inlineStr">
        <is>
          <t>nerolac.com</t>
        </is>
      </c>
      <c r="AA45" s="106" t="inlineStr">
        <is>
          <t>Email</t>
        </is>
      </c>
      <c r="AB45" s="298" t="n">
        <v>0.01</v>
      </c>
      <c r="AC45" s="118" t="n">
        <v>5.73</v>
      </c>
      <c r="AE45" s="106" t="inlineStr">
        <is>
          <t>nerolac.com</t>
        </is>
      </c>
      <c r="AF45" s="106" t="inlineStr">
        <is>
          <t>Email</t>
        </is>
      </c>
      <c r="AG45" s="298" t="n">
        <v>0.09</v>
      </c>
      <c r="AH45" s="118" t="n">
        <v>35.84</v>
      </c>
      <c r="AJ45" s="106" t="inlineStr">
        <is>
          <t>nerolac.com</t>
        </is>
      </c>
      <c r="AK45" s="106" t="inlineStr">
        <is>
          <t>Email</t>
        </is>
      </c>
      <c r="AL45" s="298" t="n">
        <v>0.1</v>
      </c>
      <c r="AM45" s="118" t="n">
        <v>41.97</v>
      </c>
      <c r="AO45" s="106" t="inlineStr">
        <is>
          <t>nerolac.com</t>
        </is>
      </c>
      <c r="AP45" s="106" t="inlineStr">
        <is>
          <t>Email</t>
        </is>
      </c>
      <c r="AQ45" s="298" t="n">
        <v>0.03</v>
      </c>
      <c r="AR45" s="118" t="n">
        <v>14.26</v>
      </c>
      <c r="AT45" s="106" t="inlineStr">
        <is>
          <t>nerolac.com</t>
        </is>
      </c>
      <c r="AU45" s="106" t="inlineStr">
        <is>
          <t>Email</t>
        </is>
      </c>
      <c r="AV45" s="298" t="n">
        <v>0.02</v>
      </c>
      <c r="AW45" s="118" t="n">
        <v>7.22</v>
      </c>
      <c r="AY45" s="106" t="inlineStr">
        <is>
          <t>nerolac.com</t>
        </is>
      </c>
      <c r="AZ45" s="106" t="inlineStr">
        <is>
          <t>Email</t>
        </is>
      </c>
      <c r="BA45" s="298" t="n">
        <v>0.02</v>
      </c>
      <c r="BB45" s="118" t="n">
        <v>5.7</v>
      </c>
      <c r="BD45" s="106" t="inlineStr">
        <is>
          <t>nerolac.com</t>
        </is>
      </c>
      <c r="BE45" s="106" t="inlineStr">
        <is>
          <t>Email</t>
        </is>
      </c>
      <c r="BF45" s="298" t="n">
        <v>0.01</v>
      </c>
      <c r="BG45" s="118" t="n">
        <v>4.37</v>
      </c>
      <c r="BI45" s="106" t="inlineStr">
        <is>
          <t>nerolac.com</t>
        </is>
      </c>
      <c r="BJ45" s="106" t="inlineStr">
        <is>
          <t>Email</t>
        </is>
      </c>
      <c r="BK45" s="298" t="n">
        <v>0.05</v>
      </c>
      <c r="BL45" s="118" t="n">
        <v>4343.82</v>
      </c>
      <c r="BN45" s="106" t="inlineStr">
        <is>
          <t>nerolac.com</t>
        </is>
      </c>
      <c r="BO45" s="106" t="inlineStr">
        <is>
          <t>Email</t>
        </is>
      </c>
      <c r="BP45" s="298" t="n">
        <v>0.13</v>
      </c>
      <c r="BQ45" s="118" t="n">
        <v>11574.98</v>
      </c>
    </row>
    <row r="46">
      <c r="A46" s="136" t="inlineStr">
        <is>
          <t>asianpaints.com</t>
        </is>
      </c>
      <c r="B46" s="106" t="inlineStr">
        <is>
          <t>Organic Search</t>
        </is>
      </c>
      <c r="C46" s="298" t="n">
        <v>0.86</v>
      </c>
      <c r="D46" s="137" t="n">
        <v>1791584.83</v>
      </c>
      <c r="F46" s="136" t="inlineStr">
        <is>
          <t>asianpaints.com</t>
        </is>
      </c>
      <c r="G46" s="106" t="inlineStr">
        <is>
          <t>Organic Search</t>
        </is>
      </c>
      <c r="H46" s="298" t="n">
        <v>0.88</v>
      </c>
      <c r="I46" s="137" t="n">
        <v>1541736.38</v>
      </c>
      <c r="K46" s="136" t="inlineStr">
        <is>
          <t>asianpaints.com</t>
        </is>
      </c>
      <c r="L46" s="106" t="inlineStr">
        <is>
          <t>Organic Search</t>
        </is>
      </c>
      <c r="M46" s="298" t="n">
        <v>0.8100000000000001</v>
      </c>
      <c r="N46" s="137" t="n">
        <v>1474785.4</v>
      </c>
      <c r="P46" s="136" t="inlineStr">
        <is>
          <t>asianpaints.com</t>
        </is>
      </c>
      <c r="Q46" s="106" t="inlineStr">
        <is>
          <t>Organic Search</t>
        </is>
      </c>
      <c r="R46" s="298" t="n">
        <v>0.8100000000000001</v>
      </c>
      <c r="S46" s="137" t="n">
        <v>1811822.73</v>
      </c>
      <c r="U46" s="106" t="inlineStr">
        <is>
          <t>asianpaints.com</t>
        </is>
      </c>
      <c r="V46" s="106" t="inlineStr">
        <is>
          <t>Organic Search</t>
        </is>
      </c>
      <c r="W46" s="298" t="n">
        <v>0.74</v>
      </c>
      <c r="X46" s="118" t="n">
        <v>1716863.66</v>
      </c>
      <c r="Z46" s="106" t="inlineStr">
        <is>
          <t>asianpaints.com</t>
        </is>
      </c>
      <c r="AA46" s="106" t="inlineStr">
        <is>
          <t>Organic Search</t>
        </is>
      </c>
      <c r="AB46" s="298" t="n">
        <v>0.67</v>
      </c>
      <c r="AC46" s="118" t="n">
        <v>1701212.7</v>
      </c>
      <c r="AE46" s="106" t="inlineStr">
        <is>
          <t>asianpaints.com</t>
        </is>
      </c>
      <c r="AF46" s="106" t="inlineStr">
        <is>
          <t>Organic Search</t>
        </is>
      </c>
      <c r="AG46" s="298" t="n">
        <v>0.84</v>
      </c>
      <c r="AH46" s="118" t="n">
        <v>2597395.55</v>
      </c>
      <c r="AJ46" s="106" t="inlineStr">
        <is>
          <t>asianpaints.com</t>
        </is>
      </c>
      <c r="AK46" s="106" t="inlineStr">
        <is>
          <t>Organic Search</t>
        </is>
      </c>
      <c r="AL46" s="298" t="n">
        <v>0.82</v>
      </c>
      <c r="AM46" s="118" t="n">
        <v>2018423.11</v>
      </c>
      <c r="AO46" s="106" t="inlineStr">
        <is>
          <t>asianpaints.com</t>
        </is>
      </c>
      <c r="AP46" s="106" t="inlineStr">
        <is>
          <t>Organic Search</t>
        </is>
      </c>
      <c r="AQ46" s="298" t="n">
        <v>0.9</v>
      </c>
      <c r="AR46" s="118" t="n">
        <v>1718629.61</v>
      </c>
      <c r="AT46" s="106" t="inlineStr">
        <is>
          <t>asianpaints.com</t>
        </is>
      </c>
      <c r="AU46" s="106" t="inlineStr">
        <is>
          <t>Organic Search</t>
        </is>
      </c>
      <c r="AV46" s="298" t="n">
        <v>0.89</v>
      </c>
      <c r="AW46" s="118" t="n">
        <v>1843253.32</v>
      </c>
      <c r="AY46" s="106" t="inlineStr">
        <is>
          <t>asianpaints.com</t>
        </is>
      </c>
      <c r="AZ46" s="106" t="inlineStr">
        <is>
          <t>Organic Search</t>
        </is>
      </c>
      <c r="BA46" s="298" t="n">
        <v>0.74</v>
      </c>
      <c r="BB46" s="118" t="n">
        <v>2009624.97</v>
      </c>
      <c r="BD46" s="106" t="inlineStr">
        <is>
          <t>asianpaints.com</t>
        </is>
      </c>
      <c r="BE46" s="106" t="inlineStr">
        <is>
          <t>Organic Search</t>
        </is>
      </c>
      <c r="BF46" s="298" t="n">
        <v>0.8</v>
      </c>
      <c r="BG46" s="118" t="n">
        <v>1670694.41</v>
      </c>
      <c r="BI46" s="106" t="inlineStr">
        <is>
          <t>asianpaints.com</t>
        </is>
      </c>
      <c r="BJ46" s="106" t="inlineStr">
        <is>
          <t>Organic Search</t>
        </is>
      </c>
      <c r="BK46" s="298" t="n">
        <v>0.79</v>
      </c>
      <c r="BL46" s="118" t="n">
        <v>1842036.91</v>
      </c>
      <c r="BN46" s="106" t="inlineStr">
        <is>
          <t>asianpaints.com</t>
        </is>
      </c>
      <c r="BO46" s="106" t="inlineStr">
        <is>
          <t>Organic Search</t>
        </is>
      </c>
      <c r="BP46" s="298" t="n">
        <v>0.68</v>
      </c>
      <c r="BQ46" s="118" t="n">
        <v>1420335.23</v>
      </c>
    </row>
    <row r="47">
      <c r="A47" s="136" t="inlineStr">
        <is>
          <t>birlaopus.com</t>
        </is>
      </c>
      <c r="B47" s="106" t="inlineStr">
        <is>
          <t>Organic Search</t>
        </is>
      </c>
      <c r="C47" s="298" t="n">
        <v>0.05</v>
      </c>
      <c r="D47" s="137" t="n">
        <v>131163.48</v>
      </c>
      <c r="F47" s="136" t="inlineStr">
        <is>
          <t>birlaopus.com</t>
        </is>
      </c>
      <c r="G47" s="106" t="inlineStr">
        <is>
          <t>Organic Search</t>
        </is>
      </c>
      <c r="H47" s="298" t="n">
        <v>0.05</v>
      </c>
      <c r="I47" s="137" t="n">
        <v>107412.66</v>
      </c>
      <c r="K47" s="136" t="inlineStr">
        <is>
          <t>birlaopus.com</t>
        </is>
      </c>
      <c r="L47" s="106" t="inlineStr">
        <is>
          <t>Organic Search</t>
        </is>
      </c>
      <c r="M47" s="298" t="n">
        <v>0.07000000000000001</v>
      </c>
      <c r="N47" s="137" t="n">
        <v>124485.85</v>
      </c>
      <c r="P47" s="136" t="inlineStr">
        <is>
          <t>birlaopus.com</t>
        </is>
      </c>
      <c r="Q47" s="106" t="inlineStr">
        <is>
          <t>Organic Search</t>
        </is>
      </c>
      <c r="R47" s="298" t="n">
        <v>0.07000000000000001</v>
      </c>
      <c r="S47" s="137" t="n">
        <v>151955.96</v>
      </c>
      <c r="U47" s="106" t="inlineStr">
        <is>
          <t>birlaopus.com</t>
        </is>
      </c>
      <c r="V47" s="106" t="inlineStr">
        <is>
          <t>Organic Search</t>
        </is>
      </c>
      <c r="W47" s="298" t="n">
        <v>0.07000000000000001</v>
      </c>
      <c r="X47" s="118" t="n">
        <v>133385.15</v>
      </c>
      <c r="Z47" s="106" t="inlineStr">
        <is>
          <t>birlaopus.com</t>
        </is>
      </c>
      <c r="AA47" s="106" t="inlineStr">
        <is>
          <t>Organic Search</t>
        </is>
      </c>
      <c r="AB47" s="298" t="n">
        <v>0.03</v>
      </c>
      <c r="AC47" s="118" t="n">
        <v>75715.24000000001</v>
      </c>
      <c r="AE47" s="106" t="inlineStr">
        <is>
          <t>birlaopus.com</t>
        </is>
      </c>
      <c r="AF47" s="106" t="inlineStr">
        <is>
          <t>Organic Search</t>
        </is>
      </c>
      <c r="AG47" s="298" t="n">
        <v>0.05</v>
      </c>
      <c r="AH47" s="118" t="n">
        <v>129154.75</v>
      </c>
      <c r="AJ47" s="106" t="inlineStr">
        <is>
          <t>birlaopus.com</t>
        </is>
      </c>
      <c r="AK47" s="106" t="inlineStr">
        <is>
          <t>Organic Search</t>
        </is>
      </c>
      <c r="AL47" s="298" t="n">
        <v>0.03</v>
      </c>
      <c r="AM47" s="118" t="n">
        <v>60703.59</v>
      </c>
      <c r="AO47" s="106" t="inlineStr">
        <is>
          <t>birlaopus.com</t>
        </is>
      </c>
      <c r="AP47" s="106" t="inlineStr">
        <is>
          <t>Organic Search</t>
        </is>
      </c>
      <c r="AQ47" s="298" t="n">
        <v>0.04</v>
      </c>
      <c r="AR47" s="118" t="n">
        <v>82467.84</v>
      </c>
      <c r="AT47" s="106" t="inlineStr">
        <is>
          <t>birlaopus.com</t>
        </is>
      </c>
      <c r="AU47" s="106" t="inlineStr">
        <is>
          <t>Organic Search</t>
        </is>
      </c>
      <c r="AV47" s="298" t="n">
        <v>0.02</v>
      </c>
      <c r="AW47" s="118" t="n">
        <v>56537.22</v>
      </c>
      <c r="AY47" s="106" t="inlineStr">
        <is>
          <t>birlaopus.com</t>
        </is>
      </c>
      <c r="AZ47" s="106" t="inlineStr">
        <is>
          <t>Organic Search</t>
        </is>
      </c>
      <c r="BA47" s="298" t="n">
        <v>0.02</v>
      </c>
      <c r="BB47" s="118" t="n">
        <v>44087.35</v>
      </c>
      <c r="BD47" s="106" t="inlineStr">
        <is>
          <t>birlaopus.com</t>
        </is>
      </c>
      <c r="BE47" s="106" t="inlineStr">
        <is>
          <t>Organic Search</t>
        </is>
      </c>
      <c r="BF47" s="298" t="n">
        <v>0.03</v>
      </c>
      <c r="BG47" s="118" t="n">
        <v>69465.7</v>
      </c>
      <c r="BI47" s="106" t="inlineStr">
        <is>
          <t>birlaopus.com</t>
        </is>
      </c>
      <c r="BJ47" s="106" t="inlineStr">
        <is>
          <t>Organic Search</t>
        </is>
      </c>
      <c r="BK47" s="298" t="n">
        <v>0.09</v>
      </c>
      <c r="BL47" s="118" t="n">
        <v>209844.06</v>
      </c>
      <c r="BN47" s="106" t="inlineStr">
        <is>
          <t>birlaopus.com</t>
        </is>
      </c>
      <c r="BO47" s="106" t="inlineStr">
        <is>
          <t>Organic Search</t>
        </is>
      </c>
      <c r="BP47" s="298" t="n">
        <v>0.06</v>
      </c>
      <c r="BQ47" s="118" t="n">
        <v>129098.08</v>
      </c>
    </row>
    <row r="48">
      <c r="A48" s="136" t="inlineStr">
        <is>
          <t>bergerpaints.com</t>
        </is>
      </c>
      <c r="B48" s="106" t="inlineStr">
        <is>
          <t>Organic Search</t>
        </is>
      </c>
      <c r="C48" s="298" t="n">
        <v>0.09</v>
      </c>
      <c r="D48" s="137" t="n">
        <v>168534.73</v>
      </c>
      <c r="F48" s="136" t="inlineStr">
        <is>
          <t>bergerpaints.com</t>
        </is>
      </c>
      <c r="G48" s="106" t="inlineStr">
        <is>
          <t>Organic Search</t>
        </is>
      </c>
      <c r="H48" s="298" t="n">
        <v>0.1</v>
      </c>
      <c r="I48" s="137" t="n">
        <v>214684.31</v>
      </c>
      <c r="K48" s="136" t="inlineStr">
        <is>
          <t>bergerpaints.com</t>
        </is>
      </c>
      <c r="L48" s="106" t="inlineStr">
        <is>
          <t>Organic Search</t>
        </is>
      </c>
      <c r="M48" s="298" t="n">
        <v>0.1</v>
      </c>
      <c r="N48" s="137" t="n">
        <v>198383.86</v>
      </c>
      <c r="P48" s="136" t="inlineStr">
        <is>
          <t>bergerpaints.com</t>
        </is>
      </c>
      <c r="Q48" s="106" t="inlineStr">
        <is>
          <t>Organic Search</t>
        </is>
      </c>
      <c r="R48" s="298" t="n">
        <v>0.12</v>
      </c>
      <c r="S48" s="137" t="n">
        <v>256986.75</v>
      </c>
      <c r="U48" s="106" t="inlineStr">
        <is>
          <t>bergerpaints.com</t>
        </is>
      </c>
      <c r="V48" s="106" t="inlineStr">
        <is>
          <t>Organic Search</t>
        </is>
      </c>
      <c r="W48" s="298" t="n">
        <v>0.12</v>
      </c>
      <c r="X48" s="118" t="n">
        <v>229849.03</v>
      </c>
      <c r="Z48" s="106" t="inlineStr">
        <is>
          <t>bergerpaints.com</t>
        </is>
      </c>
      <c r="AA48" s="106" t="inlineStr">
        <is>
          <t>Organic Search</t>
        </is>
      </c>
      <c r="AB48" s="298" t="n">
        <v>0.12</v>
      </c>
      <c r="AC48" s="118" t="n">
        <v>281315.82</v>
      </c>
      <c r="AE48" s="106" t="inlineStr">
        <is>
          <t>bergerpaints.com</t>
        </is>
      </c>
      <c r="AF48" s="106" t="inlineStr">
        <is>
          <t>Organic Search</t>
        </is>
      </c>
      <c r="AG48" s="298" t="n">
        <v>0.1</v>
      </c>
      <c r="AH48" s="118" t="n">
        <v>318259.06</v>
      </c>
      <c r="AJ48" s="106" t="inlineStr">
        <is>
          <t>bergerpaints.com</t>
        </is>
      </c>
      <c r="AK48" s="106" t="inlineStr">
        <is>
          <t>Organic Search</t>
        </is>
      </c>
      <c r="AL48" s="298" t="n">
        <v>0.14</v>
      </c>
      <c r="AM48" s="118" t="n">
        <v>295720.9</v>
      </c>
      <c r="AO48" s="106" t="inlineStr">
        <is>
          <t>bergerpaints.com</t>
        </is>
      </c>
      <c r="AP48" s="106" t="inlineStr">
        <is>
          <t>Organic Search</t>
        </is>
      </c>
      <c r="AQ48" s="298" t="n">
        <v>0.12</v>
      </c>
      <c r="AR48" s="118" t="n">
        <v>299337.73</v>
      </c>
      <c r="AT48" s="106" t="inlineStr">
        <is>
          <t>bergerpaints.com</t>
        </is>
      </c>
      <c r="AU48" s="106" t="inlineStr">
        <is>
          <t>Organic Search</t>
        </is>
      </c>
      <c r="AV48" s="298" t="n">
        <v>0.12</v>
      </c>
      <c r="AW48" s="118" t="n">
        <v>340409.82</v>
      </c>
      <c r="AY48" s="106" t="inlineStr">
        <is>
          <t>bergerpaints.com</t>
        </is>
      </c>
      <c r="AZ48" s="106" t="inlineStr">
        <is>
          <t>Organic Search</t>
        </is>
      </c>
      <c r="BA48" s="298" t="n">
        <v>0.15</v>
      </c>
      <c r="BB48" s="118" t="n">
        <v>315606.94</v>
      </c>
      <c r="BD48" s="106" t="inlineStr">
        <is>
          <t>bergerpaints.com</t>
        </is>
      </c>
      <c r="BE48" s="106" t="inlineStr">
        <is>
          <t>Organic Search</t>
        </is>
      </c>
      <c r="BF48" s="298" t="n">
        <v>0.11</v>
      </c>
      <c r="BG48" s="118" t="n">
        <v>230292.71</v>
      </c>
      <c r="BI48" s="106" t="inlineStr">
        <is>
          <t>bergerpaints.com</t>
        </is>
      </c>
      <c r="BJ48" s="106" t="inlineStr">
        <is>
          <t>Organic Search</t>
        </is>
      </c>
      <c r="BK48" s="298" t="n">
        <v>0.11</v>
      </c>
      <c r="BL48" s="118" t="n">
        <v>240898.95</v>
      </c>
      <c r="BN48" s="106" t="inlineStr">
        <is>
          <t>bergerpaints.com</t>
        </is>
      </c>
      <c r="BO48" s="106" t="inlineStr">
        <is>
          <t>Organic Search</t>
        </is>
      </c>
      <c r="BP48" s="298" t="n">
        <v>0.13</v>
      </c>
      <c r="BQ48" s="118" t="n">
        <v>305048.19</v>
      </c>
    </row>
    <row r="49">
      <c r="A49" s="136" t="inlineStr">
        <is>
          <t>nerolac.com</t>
        </is>
      </c>
      <c r="B49" s="106" t="inlineStr">
        <is>
          <t>Organic Search</t>
        </is>
      </c>
      <c r="C49" s="298" t="n">
        <v>0.09</v>
      </c>
      <c r="D49" s="137" t="n">
        <v>198528.12</v>
      </c>
      <c r="F49" s="136" t="inlineStr">
        <is>
          <t>nerolac.com</t>
        </is>
      </c>
      <c r="G49" s="106" t="inlineStr">
        <is>
          <t>Organic Search</t>
        </is>
      </c>
      <c r="H49" s="298" t="n">
        <v>0.07000000000000001</v>
      </c>
      <c r="I49" s="137" t="n">
        <v>172185.65</v>
      </c>
      <c r="K49" s="136" t="inlineStr">
        <is>
          <t>nerolac.com</t>
        </is>
      </c>
      <c r="L49" s="106" t="inlineStr">
        <is>
          <t>Organic Search</t>
        </is>
      </c>
      <c r="M49" s="298" t="n">
        <v>0.06</v>
      </c>
      <c r="N49" s="137" t="n">
        <v>152873.65</v>
      </c>
      <c r="P49" s="136" t="inlineStr">
        <is>
          <t>nerolac.com</t>
        </is>
      </c>
      <c r="Q49" s="106" t="inlineStr">
        <is>
          <t>Organic Search</t>
        </is>
      </c>
      <c r="R49" s="298" t="n">
        <v>0.06</v>
      </c>
      <c r="S49" s="137" t="n">
        <v>130266.34</v>
      </c>
      <c r="U49" s="106" t="inlineStr">
        <is>
          <t>nerolac.com</t>
        </is>
      </c>
      <c r="V49" s="106" t="inlineStr">
        <is>
          <t>Organic Search</t>
        </is>
      </c>
      <c r="W49" s="298" t="n">
        <v>0.07000000000000001</v>
      </c>
      <c r="X49" s="118" t="n">
        <v>166119.55</v>
      </c>
      <c r="Z49" s="106" t="inlineStr">
        <is>
          <t>nerolac.com</t>
        </is>
      </c>
      <c r="AA49" s="106" t="inlineStr">
        <is>
          <t>Organic Search</t>
        </is>
      </c>
      <c r="AB49" s="298" t="n">
        <v>0.07000000000000001</v>
      </c>
      <c r="AC49" s="118" t="n">
        <v>184663.32</v>
      </c>
      <c r="AE49" s="106" t="inlineStr">
        <is>
          <t>nerolac.com</t>
        </is>
      </c>
      <c r="AF49" s="106" t="inlineStr">
        <is>
          <t>Organic Search</t>
        </is>
      </c>
      <c r="AG49" s="298" t="n">
        <v>0.07000000000000001</v>
      </c>
      <c r="AH49" s="118" t="n">
        <v>162037.53</v>
      </c>
      <c r="AJ49" s="106" t="inlineStr">
        <is>
          <t>nerolac.com</t>
        </is>
      </c>
      <c r="AK49" s="106" t="inlineStr">
        <is>
          <t>Organic Search</t>
        </is>
      </c>
      <c r="AL49" s="298" t="n">
        <v>0.05</v>
      </c>
      <c r="AM49" s="118" t="n">
        <v>87753.78</v>
      </c>
      <c r="AO49" s="106" t="inlineStr">
        <is>
          <t>nerolac.com</t>
        </is>
      </c>
      <c r="AP49" s="106" t="inlineStr">
        <is>
          <t>Organic Search</t>
        </is>
      </c>
      <c r="AQ49" s="298" t="n">
        <v>0.04</v>
      </c>
      <c r="AR49" s="118" t="n">
        <v>87075.63</v>
      </c>
      <c r="AT49" s="106" t="inlineStr">
        <is>
          <t>nerolac.com</t>
        </is>
      </c>
      <c r="AU49" s="106" t="inlineStr">
        <is>
          <t>Organic Search</t>
        </is>
      </c>
      <c r="AV49" s="298" t="n">
        <v>0.05</v>
      </c>
      <c r="AW49" s="118" t="n">
        <v>127748.26</v>
      </c>
      <c r="AY49" s="5" t="inlineStr">
        <is>
          <t>nerolac.com</t>
        </is>
      </c>
      <c r="AZ49" s="5" t="inlineStr">
        <is>
          <t>Organic Search</t>
        </is>
      </c>
      <c r="BA49" s="299" t="n">
        <v>0.06</v>
      </c>
      <c r="BB49" s="4" t="n">
        <v>140936.41</v>
      </c>
      <c r="BD49" s="5" t="inlineStr">
        <is>
          <t>nerolac.com</t>
        </is>
      </c>
      <c r="BE49" s="5" t="inlineStr">
        <is>
          <t>Organic Search</t>
        </is>
      </c>
      <c r="BF49" s="299" t="n">
        <v>0.05</v>
      </c>
      <c r="BG49" s="4" t="n">
        <v>151662.97</v>
      </c>
      <c r="BI49" s="5" t="inlineStr">
        <is>
          <t>nerolac.com</t>
        </is>
      </c>
      <c r="BJ49" s="5" t="inlineStr">
        <is>
          <t>Organic Search</t>
        </is>
      </c>
      <c r="BK49" s="298" t="n">
        <v>0.05</v>
      </c>
      <c r="BL49" s="118" t="n">
        <v>140173.26</v>
      </c>
      <c r="BN49" s="5" t="inlineStr">
        <is>
          <t>nerolac.com</t>
        </is>
      </c>
      <c r="BO49" s="5" t="inlineStr">
        <is>
          <t>Organic Search</t>
        </is>
      </c>
      <c r="BP49" s="298" t="n">
        <v>0.09</v>
      </c>
      <c r="BQ49" s="118" t="n">
        <v>160754.18</v>
      </c>
    </row>
    <row r="50">
      <c r="A50" s="136" t="inlineStr">
        <is>
          <t>asianpaints.com</t>
        </is>
      </c>
      <c r="B50" s="106" t="inlineStr">
        <is>
          <t>Paid Search</t>
        </is>
      </c>
      <c r="C50" s="298" t="n">
        <v>0.64</v>
      </c>
      <c r="D50" s="137" t="n">
        <v>375794.27</v>
      </c>
      <c r="F50" s="136" t="inlineStr">
        <is>
          <t>asianpaints.com</t>
        </is>
      </c>
      <c r="G50" s="106" t="inlineStr">
        <is>
          <t>Paid Search</t>
        </is>
      </c>
      <c r="H50" s="298" t="n">
        <v>0.54</v>
      </c>
      <c r="I50" s="137" t="n">
        <v>303444.3</v>
      </c>
      <c r="K50" s="136" t="inlineStr">
        <is>
          <t>asianpaints.com</t>
        </is>
      </c>
      <c r="L50" s="106" t="inlineStr">
        <is>
          <t>Paid Search</t>
        </is>
      </c>
      <c r="M50" s="298" t="n">
        <v>0.61</v>
      </c>
      <c r="N50" s="137" t="n">
        <v>398237.66</v>
      </c>
      <c r="P50" s="136" t="inlineStr">
        <is>
          <t>asianpaints.com</t>
        </is>
      </c>
      <c r="Q50" s="106" t="inlineStr">
        <is>
          <t>Paid Search</t>
        </is>
      </c>
      <c r="R50" s="298" t="n">
        <v>0.52</v>
      </c>
      <c r="S50" s="137" t="n">
        <v>284318.61</v>
      </c>
      <c r="U50" s="106" t="inlineStr">
        <is>
          <t>asianpaints.com</t>
        </is>
      </c>
      <c r="V50" s="106" t="inlineStr">
        <is>
          <t>Paid Search</t>
        </is>
      </c>
      <c r="W50" s="298" t="n">
        <v>0.66</v>
      </c>
      <c r="X50" s="118" t="n">
        <v>357739.9</v>
      </c>
      <c r="Z50" s="106" t="inlineStr">
        <is>
          <t>asianpaints.com</t>
        </is>
      </c>
      <c r="AA50" s="106" t="inlineStr">
        <is>
          <t>Paid Search</t>
        </is>
      </c>
      <c r="AB50" s="298" t="n">
        <v>0.71</v>
      </c>
      <c r="AC50" s="118" t="n">
        <v>365543.31</v>
      </c>
      <c r="AE50" s="106" t="inlineStr">
        <is>
          <t>asianpaints.com</t>
        </is>
      </c>
      <c r="AF50" s="106" t="inlineStr">
        <is>
          <t>Paid Search</t>
        </is>
      </c>
      <c r="AG50" s="298" t="n">
        <v>0.72</v>
      </c>
      <c r="AH50" s="118" t="n">
        <v>430381.25</v>
      </c>
      <c r="AJ50" s="106" t="inlineStr">
        <is>
          <t>asianpaints.com</t>
        </is>
      </c>
      <c r="AK50" s="106" t="inlineStr">
        <is>
          <t>Paid Search</t>
        </is>
      </c>
      <c r="AL50" s="298" t="n">
        <v>0.68</v>
      </c>
      <c r="AM50" s="118" t="n">
        <v>364665.42</v>
      </c>
      <c r="AO50" s="106" t="inlineStr">
        <is>
          <t>asianpaints.com</t>
        </is>
      </c>
      <c r="AP50" s="106" t="inlineStr">
        <is>
          <t>Paid Search</t>
        </is>
      </c>
      <c r="AQ50" s="298" t="n">
        <v>0.71</v>
      </c>
      <c r="AR50" s="118" t="n">
        <v>410569.98</v>
      </c>
      <c r="AT50" s="106" t="inlineStr">
        <is>
          <t>asianpaints.com</t>
        </is>
      </c>
      <c r="AU50" s="106" t="inlineStr">
        <is>
          <t>Paid Search</t>
        </is>
      </c>
      <c r="AV50" s="298" t="n">
        <v>0.8</v>
      </c>
      <c r="AW50" s="118" t="n">
        <v>387460.63</v>
      </c>
      <c r="AY50" s="106" t="inlineStr">
        <is>
          <t>asianpaints.com</t>
        </is>
      </c>
      <c r="AZ50" s="106" t="inlineStr">
        <is>
          <t>Paid Search</t>
        </is>
      </c>
      <c r="BA50" s="298" t="n">
        <v>0.78</v>
      </c>
      <c r="BB50" s="118" t="n">
        <v>389661.39</v>
      </c>
      <c r="BD50" s="106" t="inlineStr">
        <is>
          <t>asianpaints.com</t>
        </is>
      </c>
      <c r="BE50" s="106" t="inlineStr">
        <is>
          <t>Paid Search</t>
        </is>
      </c>
      <c r="BF50" s="298" t="n">
        <v>0.75</v>
      </c>
      <c r="BG50" s="118" t="n">
        <v>394938.06</v>
      </c>
      <c r="BI50" s="106" t="inlineStr">
        <is>
          <t>asianpaints.com</t>
        </is>
      </c>
      <c r="BJ50" s="106" t="inlineStr">
        <is>
          <t>Paid Search</t>
        </is>
      </c>
      <c r="BK50" s="298" t="n">
        <v>0.6</v>
      </c>
      <c r="BL50" s="118" t="n">
        <v>172586.59</v>
      </c>
      <c r="BN50" s="106" t="inlineStr">
        <is>
          <t>asianpaints.com</t>
        </is>
      </c>
      <c r="BO50" s="106" t="inlineStr">
        <is>
          <t>Paid Search</t>
        </is>
      </c>
      <c r="BP50" s="298" t="n">
        <v>0.67</v>
      </c>
      <c r="BQ50" s="118" t="n">
        <v>172502.49</v>
      </c>
    </row>
    <row r="51">
      <c r="A51" s="136" t="inlineStr">
        <is>
          <t>birlaopus.com</t>
        </is>
      </c>
      <c r="B51" s="106" t="inlineStr">
        <is>
          <t>Paid Search</t>
        </is>
      </c>
      <c r="C51" s="298" t="n">
        <v>0.31</v>
      </c>
      <c r="D51" s="137" t="n">
        <v>249703.83</v>
      </c>
      <c r="F51" s="136" t="inlineStr">
        <is>
          <t>birlaopus.com</t>
        </is>
      </c>
      <c r="G51" s="106" t="inlineStr">
        <is>
          <t>Paid Search</t>
        </is>
      </c>
      <c r="H51" s="298" t="n">
        <v>0.4</v>
      </c>
      <c r="I51" s="137" t="n">
        <v>207195.32</v>
      </c>
      <c r="K51" s="136" t="inlineStr">
        <is>
          <t>birlaopus.com</t>
        </is>
      </c>
      <c r="L51" s="106" t="inlineStr">
        <is>
          <t>Paid Search</t>
        </is>
      </c>
      <c r="M51" s="298" t="n">
        <v>0.35</v>
      </c>
      <c r="N51" s="137" t="n">
        <v>240645.45</v>
      </c>
      <c r="P51" s="136" t="inlineStr">
        <is>
          <t>birlaopus.com</t>
        </is>
      </c>
      <c r="Q51" s="106" t="inlineStr">
        <is>
          <t>Paid Search</t>
        </is>
      </c>
      <c r="R51" s="298" t="n">
        <v>0.31</v>
      </c>
      <c r="S51" s="137" t="n">
        <v>161709.85</v>
      </c>
      <c r="U51" s="106" t="inlineStr">
        <is>
          <t>birlaopus.com</t>
        </is>
      </c>
      <c r="V51" s="106" t="inlineStr">
        <is>
          <t>Paid Search</t>
        </is>
      </c>
      <c r="W51" s="298" t="n">
        <v>0.24</v>
      </c>
      <c r="X51" s="118" t="n">
        <v>110009.01</v>
      </c>
      <c r="Z51" s="106" t="inlineStr">
        <is>
          <t>birlaopus.com</t>
        </is>
      </c>
      <c r="AA51" s="106" t="inlineStr">
        <is>
          <t>Paid Search</t>
        </is>
      </c>
      <c r="AB51" s="298" t="n">
        <v>0.17</v>
      </c>
      <c r="AC51" s="118" t="n">
        <v>89179.47</v>
      </c>
      <c r="AE51" s="106" t="inlineStr">
        <is>
          <t>birlaopus.com</t>
        </is>
      </c>
      <c r="AF51" s="106" t="inlineStr">
        <is>
          <t>Paid Search</t>
        </is>
      </c>
      <c r="AG51" s="298" t="n">
        <v>0.22</v>
      </c>
      <c r="AH51" s="118" t="n">
        <v>109262.4</v>
      </c>
      <c r="AJ51" s="106" t="inlineStr">
        <is>
          <t>birlaopus.com</t>
        </is>
      </c>
      <c r="AK51" s="106" t="inlineStr">
        <is>
          <t>Paid Search</t>
        </is>
      </c>
      <c r="AL51" s="298" t="n">
        <v>0.11</v>
      </c>
      <c r="AM51" s="118" t="n">
        <v>61962.88</v>
      </c>
      <c r="AO51" s="106" t="inlineStr">
        <is>
          <t>birlaopus.com</t>
        </is>
      </c>
      <c r="AP51" s="106" t="inlineStr">
        <is>
          <t>Paid Search</t>
        </is>
      </c>
      <c r="AQ51" s="298" t="n">
        <v>0.21</v>
      </c>
      <c r="AR51" s="118" t="n">
        <v>132102.35</v>
      </c>
      <c r="AT51" s="106" t="inlineStr">
        <is>
          <t>birlaopus.com</t>
        </is>
      </c>
      <c r="AU51" s="106" t="inlineStr">
        <is>
          <t>Paid Search</t>
        </is>
      </c>
      <c r="AV51" s="298" t="n">
        <v>0.15</v>
      </c>
      <c r="AW51" s="118" t="n">
        <v>79872.97</v>
      </c>
      <c r="AY51" s="106" t="inlineStr">
        <is>
          <t>birlaopus.com</t>
        </is>
      </c>
      <c r="AZ51" s="106" t="inlineStr">
        <is>
          <t>Paid Search</t>
        </is>
      </c>
      <c r="BA51" s="298" t="n">
        <v>0.21</v>
      </c>
      <c r="BB51" s="118" t="n">
        <v>114581.93</v>
      </c>
      <c r="BD51" s="106" t="inlineStr">
        <is>
          <t>birlaopus.com</t>
        </is>
      </c>
      <c r="BE51" s="106" t="inlineStr">
        <is>
          <t>Paid Search</t>
        </is>
      </c>
      <c r="BF51" s="298" t="n">
        <v>0.17</v>
      </c>
      <c r="BG51" s="118" t="n">
        <v>112381.78</v>
      </c>
      <c r="BI51" s="106" t="inlineStr">
        <is>
          <t>birlaopus.com</t>
        </is>
      </c>
      <c r="BJ51" s="106" t="inlineStr">
        <is>
          <t>Paid Search</t>
        </is>
      </c>
      <c r="BK51" s="298" t="n">
        <v>0.07000000000000001</v>
      </c>
      <c r="BL51" s="118" t="n">
        <v>20851.98</v>
      </c>
      <c r="BN51" s="106" t="inlineStr">
        <is>
          <t>birlaopus.com</t>
        </is>
      </c>
      <c r="BO51" s="106" t="inlineStr">
        <is>
          <t>Paid Search</t>
        </is>
      </c>
      <c r="BP51" s="298" t="n">
        <v>0.04</v>
      </c>
      <c r="BQ51" s="118" t="n">
        <v>11238.3</v>
      </c>
    </row>
    <row r="52">
      <c r="A52" s="136" t="inlineStr">
        <is>
          <t>bergerpaints.com</t>
        </is>
      </c>
      <c r="B52" s="106" t="inlineStr">
        <is>
          <t>Paid Search</t>
        </is>
      </c>
      <c r="C52" s="298" t="n">
        <v>0.05</v>
      </c>
      <c r="D52" s="137" t="n">
        <v>30471.5</v>
      </c>
      <c r="F52" s="136" t="inlineStr">
        <is>
          <t>bergerpaints.com</t>
        </is>
      </c>
      <c r="G52" s="106" t="inlineStr">
        <is>
          <t>Paid Search</t>
        </is>
      </c>
      <c r="H52" s="298" t="n">
        <v>0.05</v>
      </c>
      <c r="I52" s="137" t="n">
        <v>38810.3</v>
      </c>
      <c r="K52" s="136" t="inlineStr">
        <is>
          <t>bergerpaints.com</t>
        </is>
      </c>
      <c r="L52" s="106" t="inlineStr">
        <is>
          <t>Paid Search</t>
        </is>
      </c>
      <c r="M52" s="298" t="n">
        <v>0.06</v>
      </c>
      <c r="N52" s="137" t="n">
        <v>32989.61</v>
      </c>
      <c r="P52" s="136" t="inlineStr">
        <is>
          <t>bergerpaints.com</t>
        </is>
      </c>
      <c r="Q52" s="106" t="inlineStr">
        <is>
          <t>Paid Search</t>
        </is>
      </c>
      <c r="R52" s="298" t="n">
        <v>0.09</v>
      </c>
      <c r="S52" s="137" t="n">
        <v>53211.8</v>
      </c>
      <c r="U52" s="106" t="inlineStr">
        <is>
          <t>bergerpaints.com</t>
        </is>
      </c>
      <c r="V52" s="106" t="inlineStr">
        <is>
          <t>Paid Search</t>
        </is>
      </c>
      <c r="W52" s="298" t="n">
        <v>0.08</v>
      </c>
      <c r="X52" s="118" t="n">
        <v>46911.02</v>
      </c>
      <c r="Z52" s="106" t="inlineStr">
        <is>
          <t>bergerpaints.com</t>
        </is>
      </c>
      <c r="AA52" s="106" t="inlineStr">
        <is>
          <t>Paid Search</t>
        </is>
      </c>
      <c r="AB52" s="298" t="n">
        <v>0.1</v>
      </c>
      <c r="AC52" s="118" t="n">
        <v>56875.33</v>
      </c>
      <c r="AE52" s="106" t="inlineStr">
        <is>
          <t>bergerpaints.com</t>
        </is>
      </c>
      <c r="AF52" s="106" t="inlineStr">
        <is>
          <t>Paid Search</t>
        </is>
      </c>
      <c r="AG52" s="298" t="n">
        <v>0.1</v>
      </c>
      <c r="AH52" s="118" t="n">
        <v>57486.53</v>
      </c>
      <c r="AJ52" s="106" t="inlineStr">
        <is>
          <t>bergerpaints.com</t>
        </is>
      </c>
      <c r="AK52" s="106" t="inlineStr">
        <is>
          <t>Paid Search</t>
        </is>
      </c>
      <c r="AL52" s="298" t="n">
        <v>0.1</v>
      </c>
      <c r="AM52" s="118" t="n">
        <v>50473.74</v>
      </c>
      <c r="AO52" s="106" t="inlineStr">
        <is>
          <t>bergerpaints.com</t>
        </is>
      </c>
      <c r="AP52" s="106" t="inlineStr">
        <is>
          <t>Paid Search</t>
        </is>
      </c>
      <c r="AQ52" s="298" t="n">
        <v>0.08</v>
      </c>
      <c r="AR52" s="118" t="n">
        <v>51820.27</v>
      </c>
      <c r="AT52" s="106" t="inlineStr">
        <is>
          <t>bergerpaints.com</t>
        </is>
      </c>
      <c r="AU52" s="106" t="inlineStr">
        <is>
          <t>Paid Search</t>
        </is>
      </c>
      <c r="AV52" s="298" t="n">
        <v>0.08</v>
      </c>
      <c r="AW52" s="118" t="n">
        <v>48315.21</v>
      </c>
      <c r="AY52" s="106" t="inlineStr">
        <is>
          <t>bergerpaints.com</t>
        </is>
      </c>
      <c r="AZ52" s="106" t="inlineStr">
        <is>
          <t>Paid Search</t>
        </is>
      </c>
      <c r="BA52" s="298" t="n">
        <v>0.1</v>
      </c>
      <c r="BB52" s="118" t="n">
        <v>43575.05</v>
      </c>
      <c r="BD52" s="106" t="inlineStr">
        <is>
          <t>bergerpaints.com</t>
        </is>
      </c>
      <c r="BE52" s="106" t="inlineStr">
        <is>
          <t>Paid Search</t>
        </is>
      </c>
      <c r="BF52" s="298" t="n">
        <v>0.06</v>
      </c>
      <c r="BG52" s="118" t="n">
        <v>44259.97</v>
      </c>
      <c r="BI52" s="106" t="inlineStr">
        <is>
          <t>bergerpaints.com</t>
        </is>
      </c>
      <c r="BJ52" s="106" t="inlineStr">
        <is>
          <t>Paid Search</t>
        </is>
      </c>
      <c r="BK52" s="298" t="n">
        <v>0.16</v>
      </c>
      <c r="BL52" s="118" t="n">
        <v>37578.78</v>
      </c>
      <c r="BN52" s="106" t="inlineStr">
        <is>
          <t>bergerpaints.com</t>
        </is>
      </c>
      <c r="BO52" s="106" t="inlineStr">
        <is>
          <t>Paid Search</t>
        </is>
      </c>
      <c r="BP52" s="298" t="n">
        <v>0.21</v>
      </c>
      <c r="BQ52" s="118" t="n">
        <v>59047.01</v>
      </c>
    </row>
    <row r="53">
      <c r="A53" s="136" t="inlineStr">
        <is>
          <t>nerolac.com</t>
        </is>
      </c>
      <c r="B53" s="106" t="inlineStr">
        <is>
          <t>Paid Search</t>
        </is>
      </c>
      <c r="C53" s="298" t="n">
        <v>0.01</v>
      </c>
      <c r="D53" s="137" t="n">
        <v>7696.03</v>
      </c>
      <c r="F53" s="136" t="inlineStr">
        <is>
          <t>nerolac.com</t>
        </is>
      </c>
      <c r="G53" s="106" t="inlineStr">
        <is>
          <t>Paid Search</t>
        </is>
      </c>
      <c r="H53" s="298" t="n">
        <v>0.01</v>
      </c>
      <c r="I53" s="137" t="n">
        <v>3454.04</v>
      </c>
      <c r="K53" s="136" t="inlineStr">
        <is>
          <t>nerolac.com</t>
        </is>
      </c>
      <c r="L53" s="106" t="inlineStr">
        <is>
          <t>Paid Search</t>
        </is>
      </c>
      <c r="M53" s="298" t="n">
        <v>0.01</v>
      </c>
      <c r="N53" s="137" t="n">
        <v>4526.25</v>
      </c>
      <c r="P53" s="136" t="inlineStr">
        <is>
          <t>nerolac.com</t>
        </is>
      </c>
      <c r="Q53" s="106" t="inlineStr">
        <is>
          <t>Paid Search</t>
        </is>
      </c>
      <c r="R53" s="298" t="n">
        <v>0.01</v>
      </c>
      <c r="S53" s="137" t="n">
        <v>4393.35</v>
      </c>
      <c r="U53" s="106" t="inlineStr">
        <is>
          <t>nerolac.com</t>
        </is>
      </c>
      <c r="V53" s="106" t="inlineStr">
        <is>
          <t>Paid Search</t>
        </is>
      </c>
      <c r="W53" s="298" t="n">
        <v>0.01</v>
      </c>
      <c r="X53" s="118" t="n">
        <v>6294.45</v>
      </c>
      <c r="Z53" s="106" t="inlineStr">
        <is>
          <t>nerolac.com</t>
        </is>
      </c>
      <c r="AA53" s="106" t="inlineStr">
        <is>
          <t>Paid Search</t>
        </is>
      </c>
      <c r="AB53" s="298" t="n">
        <v>0.01</v>
      </c>
      <c r="AC53" s="118" t="n">
        <v>5087.67</v>
      </c>
      <c r="AE53" s="106" t="inlineStr">
        <is>
          <t>nerolac.com</t>
        </is>
      </c>
      <c r="AF53" s="106" t="inlineStr">
        <is>
          <t>Paid Search</t>
        </is>
      </c>
      <c r="AG53" s="298" t="n">
        <v>0.01</v>
      </c>
      <c r="AH53" s="118" t="n">
        <v>6230.14</v>
      </c>
      <c r="AJ53" s="106" t="inlineStr">
        <is>
          <t>nerolac.com</t>
        </is>
      </c>
      <c r="AK53" s="106" t="inlineStr">
        <is>
          <t>Paid Search</t>
        </is>
      </c>
      <c r="AL53" s="298" t="n">
        <v>0</v>
      </c>
      <c r="AM53" s="118" t="n">
        <v>1460.11</v>
      </c>
      <c r="AO53" s="106" t="inlineStr">
        <is>
          <t>nerolac.com</t>
        </is>
      </c>
      <c r="AP53" s="106" t="inlineStr">
        <is>
          <t>Paid Search</t>
        </is>
      </c>
      <c r="AQ53" s="298" t="n">
        <v>0</v>
      </c>
      <c r="AR53" s="118" t="n">
        <v>1340.69</v>
      </c>
      <c r="AT53" s="106" t="inlineStr">
        <is>
          <t>nerolac.com</t>
        </is>
      </c>
      <c r="AU53" s="106" t="inlineStr">
        <is>
          <t>Paid Search</t>
        </is>
      </c>
      <c r="AV53" s="298" t="n">
        <v>0.01</v>
      </c>
      <c r="AW53" s="118" t="n">
        <v>4324.93</v>
      </c>
      <c r="AY53" s="106" t="inlineStr">
        <is>
          <t>nerolac.com</t>
        </is>
      </c>
      <c r="AZ53" s="106" t="inlineStr">
        <is>
          <t>Paid Search</t>
        </is>
      </c>
      <c r="BA53" s="298" t="n">
        <v>0.01</v>
      </c>
      <c r="BB53" s="118" t="n">
        <v>3377.78</v>
      </c>
      <c r="BD53" s="106" t="inlineStr">
        <is>
          <t>nerolac.com</t>
        </is>
      </c>
      <c r="BE53" s="106" t="inlineStr">
        <is>
          <t>Paid Search</t>
        </is>
      </c>
      <c r="BF53" s="298" t="n">
        <v>0.01</v>
      </c>
      <c r="BG53" s="118" t="n">
        <v>4634.32</v>
      </c>
      <c r="BI53" s="106" t="inlineStr">
        <is>
          <t>nerolac.com</t>
        </is>
      </c>
      <c r="BJ53" s="106" t="inlineStr">
        <is>
          <t>Paid Search</t>
        </is>
      </c>
      <c r="BK53" s="298" t="n">
        <v>0.12</v>
      </c>
      <c r="BL53" s="118" t="n">
        <v>29730.42</v>
      </c>
      <c r="BN53" s="106" t="inlineStr">
        <is>
          <t>nerolac.com</t>
        </is>
      </c>
      <c r="BO53" s="106" t="inlineStr">
        <is>
          <t>Paid Search</t>
        </is>
      </c>
      <c r="BP53" s="298" t="n">
        <v>0.1</v>
      </c>
      <c r="BQ53" s="118" t="n">
        <v>25843.38</v>
      </c>
    </row>
    <row r="54">
      <c r="A54" s="136" t="inlineStr">
        <is>
          <t>asianpaints.com</t>
        </is>
      </c>
      <c r="B54" s="106" t="inlineStr">
        <is>
          <t>Referrals</t>
        </is>
      </c>
      <c r="C54" s="298" t="n">
        <v>0.72</v>
      </c>
      <c r="D54" s="137" t="n">
        <v>95996.23</v>
      </c>
      <c r="F54" s="136" t="inlineStr">
        <is>
          <t>asianpaints.com</t>
        </is>
      </c>
      <c r="G54" s="106" t="inlineStr">
        <is>
          <t>Referrals</t>
        </is>
      </c>
      <c r="H54" s="298" t="n">
        <v>0.7</v>
      </c>
      <c r="I54" s="137" t="n">
        <v>71031.64999999999</v>
      </c>
      <c r="K54" s="136" t="inlineStr">
        <is>
          <t>asianpaints.com</t>
        </is>
      </c>
      <c r="L54" s="106" t="inlineStr">
        <is>
          <t>Referrals</t>
        </is>
      </c>
      <c r="M54" s="298" t="n">
        <v>0.8</v>
      </c>
      <c r="N54" s="137" t="n">
        <v>57096.11</v>
      </c>
      <c r="P54" s="136" t="inlineStr">
        <is>
          <t>asianpaints.com</t>
        </is>
      </c>
      <c r="Q54" s="106" t="inlineStr">
        <is>
          <t>Referrals</t>
        </is>
      </c>
      <c r="R54" s="298" t="n">
        <v>0.77</v>
      </c>
      <c r="S54" s="137" t="n">
        <v>69453.33</v>
      </c>
      <c r="U54" s="106" t="inlineStr">
        <is>
          <t>asianpaints.com</t>
        </is>
      </c>
      <c r="V54" s="106" t="inlineStr">
        <is>
          <t>Referrals</t>
        </is>
      </c>
      <c r="W54" s="298" t="n">
        <v>0.89</v>
      </c>
      <c r="X54" s="118" t="n">
        <v>86499.72</v>
      </c>
      <c r="Z54" s="106" t="inlineStr">
        <is>
          <t>asianpaints.com</t>
        </is>
      </c>
      <c r="AA54" s="106" t="inlineStr">
        <is>
          <t>Referrals</t>
        </is>
      </c>
      <c r="AB54" s="298" t="n">
        <v>0.76</v>
      </c>
      <c r="AC54" s="118" t="n">
        <v>92731.24000000001</v>
      </c>
      <c r="AE54" s="106" t="inlineStr">
        <is>
          <t>asianpaints.com</t>
        </is>
      </c>
      <c r="AF54" s="106" t="inlineStr">
        <is>
          <t>Referrals</t>
        </is>
      </c>
      <c r="AG54" s="298" t="n">
        <v>0.8100000000000001</v>
      </c>
      <c r="AH54" s="118" t="n">
        <v>86623.57000000001</v>
      </c>
      <c r="AJ54" s="106" t="inlineStr">
        <is>
          <t>asianpaints.com</t>
        </is>
      </c>
      <c r="AK54" s="106" t="inlineStr">
        <is>
          <t>Referrals</t>
        </is>
      </c>
      <c r="AL54" s="298" t="n">
        <v>0.93</v>
      </c>
      <c r="AM54" s="118" t="n">
        <v>56840.54</v>
      </c>
      <c r="AO54" s="106" t="inlineStr">
        <is>
          <t>asianpaints.com</t>
        </is>
      </c>
      <c r="AP54" s="106" t="inlineStr">
        <is>
          <t>Referrals</t>
        </is>
      </c>
      <c r="AQ54" s="298" t="n">
        <v>0.79</v>
      </c>
      <c r="AR54" s="118" t="n">
        <v>75679.19</v>
      </c>
      <c r="AT54" s="106" t="inlineStr">
        <is>
          <t>asianpaints.com</t>
        </is>
      </c>
      <c r="AU54" s="106" t="inlineStr">
        <is>
          <t>Referrals</t>
        </is>
      </c>
      <c r="AV54" s="298" t="n">
        <v>0.9399999999999999</v>
      </c>
      <c r="AW54" s="118" t="n">
        <v>82577.63</v>
      </c>
      <c r="AY54" s="106" t="inlineStr">
        <is>
          <t>asianpaints.com</t>
        </is>
      </c>
      <c r="AZ54" s="106" t="inlineStr">
        <is>
          <t>Referrals</t>
        </is>
      </c>
      <c r="BA54" s="298" t="n">
        <v>0.72</v>
      </c>
      <c r="BB54" s="118" t="n">
        <v>61841.46</v>
      </c>
      <c r="BD54" s="106" t="inlineStr">
        <is>
          <t>asianpaints.com</t>
        </is>
      </c>
      <c r="BE54" s="106" t="inlineStr">
        <is>
          <t>Referrals</t>
        </is>
      </c>
      <c r="BF54" s="298" t="n">
        <v>0.93</v>
      </c>
      <c r="BG54" s="118" t="n">
        <v>72444.00999999999</v>
      </c>
      <c r="BI54" s="106" t="inlineStr">
        <is>
          <t>asianpaints.com</t>
        </is>
      </c>
      <c r="BJ54" s="106" t="inlineStr">
        <is>
          <t>Referrals</t>
        </is>
      </c>
      <c r="BK54" s="298" t="n">
        <v>0.8</v>
      </c>
      <c r="BL54" s="118" t="n">
        <v>266841.1</v>
      </c>
      <c r="BN54" s="106" t="inlineStr">
        <is>
          <t>asianpaints.com</t>
        </is>
      </c>
      <c r="BO54" s="106" t="inlineStr">
        <is>
          <t>Referrals</t>
        </is>
      </c>
      <c r="BP54" s="298" t="n">
        <v>0.68</v>
      </c>
      <c r="BQ54" s="118" t="n">
        <v>141683.78</v>
      </c>
    </row>
    <row r="55">
      <c r="A55" s="136" t="inlineStr">
        <is>
          <t>birlaopus.com</t>
        </is>
      </c>
      <c r="B55" s="106" t="inlineStr">
        <is>
          <t>Referrals</t>
        </is>
      </c>
      <c r="C55" s="298" t="n">
        <v>0.15</v>
      </c>
      <c r="D55" s="137" t="n">
        <v>16579.13</v>
      </c>
      <c r="F55" s="136" t="inlineStr">
        <is>
          <t>birlaopus.com</t>
        </is>
      </c>
      <c r="G55" s="106" t="inlineStr">
        <is>
          <t>Referrals</t>
        </is>
      </c>
      <c r="H55" s="298" t="n">
        <v>0.13</v>
      </c>
      <c r="I55" s="137" t="n">
        <v>11973.9</v>
      </c>
      <c r="K55" s="136" t="inlineStr">
        <is>
          <t>birlaopus.com</t>
        </is>
      </c>
      <c r="L55" s="106" t="inlineStr">
        <is>
          <t>Referrals</t>
        </is>
      </c>
      <c r="M55" s="298" t="n">
        <v>0.17</v>
      </c>
      <c r="N55" s="137" t="n">
        <v>13421.16</v>
      </c>
      <c r="P55" s="136" t="inlineStr">
        <is>
          <t>birlaopus.com</t>
        </is>
      </c>
      <c r="Q55" s="106" t="inlineStr">
        <is>
          <t>Referrals</t>
        </is>
      </c>
      <c r="R55" s="298" t="n">
        <v>0.15</v>
      </c>
      <c r="S55" s="137" t="n">
        <v>11207.74</v>
      </c>
      <c r="U55" s="106" t="inlineStr">
        <is>
          <t>birlaopus.com</t>
        </is>
      </c>
      <c r="V55" s="106" t="inlineStr">
        <is>
          <t>Referrals</t>
        </is>
      </c>
      <c r="W55" s="298" t="n">
        <v>0.1</v>
      </c>
      <c r="X55" s="118" t="n">
        <v>12986.81</v>
      </c>
      <c r="Z55" s="106" t="inlineStr">
        <is>
          <t>birlaopus.com</t>
        </is>
      </c>
      <c r="AA55" s="106" t="inlineStr">
        <is>
          <t>Referrals</t>
        </is>
      </c>
      <c r="AB55" s="298" t="n">
        <v>0.07000000000000001</v>
      </c>
      <c r="AC55" s="118" t="n">
        <v>8207.360000000001</v>
      </c>
      <c r="AE55" s="106" t="inlineStr">
        <is>
          <t>birlaopus.com</t>
        </is>
      </c>
      <c r="AF55" s="106" t="inlineStr">
        <is>
          <t>Referrals</t>
        </is>
      </c>
      <c r="AG55" s="298" t="n">
        <v>0.11</v>
      </c>
      <c r="AH55" s="118" t="n">
        <v>13051.27</v>
      </c>
      <c r="AJ55" s="106" t="inlineStr">
        <is>
          <t>birlaopus.com</t>
        </is>
      </c>
      <c r="AK55" s="106" t="inlineStr">
        <is>
          <t>Referrals</t>
        </is>
      </c>
      <c r="AL55" s="298" t="n">
        <v>0.07000000000000001</v>
      </c>
      <c r="AM55" s="118" t="n">
        <v>5402.14</v>
      </c>
      <c r="AO55" s="106" t="inlineStr">
        <is>
          <t>birlaopus.com</t>
        </is>
      </c>
      <c r="AP55" s="106" t="inlineStr">
        <is>
          <t>Referrals</t>
        </is>
      </c>
      <c r="AQ55" s="298" t="n">
        <v>0.11</v>
      </c>
      <c r="AR55" s="118" t="n">
        <v>8737.52</v>
      </c>
      <c r="AT55" s="106" t="inlineStr">
        <is>
          <t>birlaopus.com</t>
        </is>
      </c>
      <c r="AU55" s="106" t="inlineStr">
        <is>
          <t>Referrals</t>
        </is>
      </c>
      <c r="AV55" s="298" t="n">
        <v>0.07000000000000001</v>
      </c>
      <c r="AW55" s="118" t="n">
        <v>6113.85</v>
      </c>
      <c r="AY55" s="5" t="inlineStr">
        <is>
          <t>birlaopus.com</t>
        </is>
      </c>
      <c r="AZ55" s="5" t="inlineStr">
        <is>
          <t>Referrals</t>
        </is>
      </c>
      <c r="BA55" s="299" t="n">
        <v>0.06</v>
      </c>
      <c r="BB55" s="4" t="n">
        <v>5254.02</v>
      </c>
      <c r="BD55" s="5" t="inlineStr">
        <is>
          <t>birlaopus.com</t>
        </is>
      </c>
      <c r="BE55" s="5" t="inlineStr">
        <is>
          <t>Referrals</t>
        </is>
      </c>
      <c r="BF55" s="299" t="n">
        <v>0.09</v>
      </c>
      <c r="BG55" s="4" t="n">
        <v>6942.01</v>
      </c>
      <c r="BI55" s="5" t="inlineStr">
        <is>
          <t>birlaopus.com</t>
        </is>
      </c>
      <c r="BJ55" s="5" t="inlineStr">
        <is>
          <t>Referrals</t>
        </is>
      </c>
      <c r="BK55" s="298" t="n">
        <v>0.05</v>
      </c>
      <c r="BL55" s="118" t="n">
        <v>13948.35</v>
      </c>
      <c r="BN55" s="5" t="inlineStr">
        <is>
          <t>birlaopus.com</t>
        </is>
      </c>
      <c r="BO55" s="5" t="inlineStr">
        <is>
          <t>Referrals</t>
        </is>
      </c>
      <c r="BP55" s="298" t="n">
        <v>0.15</v>
      </c>
      <c r="BQ55" s="118" t="n">
        <v>32204.56</v>
      </c>
    </row>
    <row r="56">
      <c r="A56" s="136" t="inlineStr">
        <is>
          <t>bergerpaints.com</t>
        </is>
      </c>
      <c r="B56" s="106" t="inlineStr">
        <is>
          <t>Referrals</t>
        </is>
      </c>
      <c r="C56" s="298" t="n">
        <v>0.06</v>
      </c>
      <c r="D56" s="137" t="n">
        <v>5790.04</v>
      </c>
      <c r="F56" s="136" t="inlineStr">
        <is>
          <t>bergerpaints.com</t>
        </is>
      </c>
      <c r="G56" s="106" t="inlineStr">
        <is>
          <t>Referrals</t>
        </is>
      </c>
      <c r="H56" s="298" t="n">
        <v>0.05</v>
      </c>
      <c r="I56" s="137" t="n">
        <v>4138.26</v>
      </c>
      <c r="K56" s="136" t="inlineStr">
        <is>
          <t>bergerpaints.com</t>
        </is>
      </c>
      <c r="L56" s="106" t="inlineStr">
        <is>
          <t>Referrals</t>
        </is>
      </c>
      <c r="M56" s="298" t="n">
        <v>0.07000000000000001</v>
      </c>
      <c r="N56" s="137" t="n">
        <v>5335.69</v>
      </c>
      <c r="P56" s="136" t="inlineStr">
        <is>
          <t>bergerpaints.com</t>
        </is>
      </c>
      <c r="Q56" s="106" t="inlineStr">
        <is>
          <t>Referrals</t>
        </is>
      </c>
      <c r="R56" s="298" t="n">
        <v>0.06</v>
      </c>
      <c r="S56" s="137" t="n">
        <v>3966.02</v>
      </c>
      <c r="U56" s="106" t="inlineStr">
        <is>
          <t>bergerpaints.com</t>
        </is>
      </c>
      <c r="V56" s="106" t="inlineStr">
        <is>
          <t>Referrals</t>
        </is>
      </c>
      <c r="W56" s="298" t="n">
        <v>0.06</v>
      </c>
      <c r="X56" s="118" t="n">
        <v>5233.35</v>
      </c>
      <c r="Z56" s="106" t="inlineStr">
        <is>
          <t>bergerpaints.com</t>
        </is>
      </c>
      <c r="AA56" s="106" t="inlineStr">
        <is>
          <t>Referrals</t>
        </is>
      </c>
      <c r="AB56" s="298" t="n">
        <v>0.07000000000000001</v>
      </c>
      <c r="AC56" s="118" t="n">
        <v>7754.78</v>
      </c>
      <c r="AE56" s="106" t="inlineStr">
        <is>
          <t>bergerpaints.com</t>
        </is>
      </c>
      <c r="AF56" s="106" t="inlineStr">
        <is>
          <t>Referrals</t>
        </is>
      </c>
      <c r="AG56" s="298" t="n">
        <v>0.05</v>
      </c>
      <c r="AH56" s="118" t="n">
        <v>5560.1</v>
      </c>
      <c r="AJ56" s="106" t="inlineStr">
        <is>
          <t>bergerpaints.com</t>
        </is>
      </c>
      <c r="AK56" s="106" t="inlineStr">
        <is>
          <t>Referrals</t>
        </is>
      </c>
      <c r="AL56" s="298" t="n">
        <v>0.06</v>
      </c>
      <c r="AM56" s="118" t="n">
        <v>5029.3</v>
      </c>
      <c r="AO56" s="106" t="inlineStr">
        <is>
          <t>bergerpaints.com</t>
        </is>
      </c>
      <c r="AP56" s="106" t="inlineStr">
        <is>
          <t>Referrals</t>
        </is>
      </c>
      <c r="AQ56" s="298" t="n">
        <v>0.06</v>
      </c>
      <c r="AR56" s="118" t="n">
        <v>4056.66</v>
      </c>
      <c r="AT56" s="106" t="inlineStr">
        <is>
          <t>bergerpaints.com</t>
        </is>
      </c>
      <c r="AU56" s="106" t="inlineStr">
        <is>
          <t>Referrals</t>
        </is>
      </c>
      <c r="AV56" s="298" t="n">
        <v>0.06</v>
      </c>
      <c r="AW56" s="118" t="n">
        <v>5277.41</v>
      </c>
      <c r="AY56" s="106" t="inlineStr">
        <is>
          <t>bergerpaints.com</t>
        </is>
      </c>
      <c r="AZ56" s="106" t="inlineStr">
        <is>
          <t>Referrals</t>
        </is>
      </c>
      <c r="BA56" s="298" t="n">
        <v>0.07000000000000001</v>
      </c>
      <c r="BB56" s="118" t="n">
        <v>4569.46</v>
      </c>
      <c r="BD56" s="106" t="inlineStr">
        <is>
          <t>bergerpaints.com</t>
        </is>
      </c>
      <c r="BE56" s="106" t="inlineStr">
        <is>
          <t>Referrals</t>
        </is>
      </c>
      <c r="BF56" s="298" t="n">
        <v>0.05</v>
      </c>
      <c r="BG56" s="118" t="n">
        <v>4311.07</v>
      </c>
      <c r="BI56" s="106" t="inlineStr">
        <is>
          <t>bergerpaints.com</t>
        </is>
      </c>
      <c r="BJ56" s="106" t="inlineStr">
        <is>
          <t>Referrals</t>
        </is>
      </c>
      <c r="BK56" s="298" t="n">
        <v>0.05</v>
      </c>
      <c r="BL56" s="118" t="n">
        <v>13808.14</v>
      </c>
      <c r="BN56" s="106" t="inlineStr">
        <is>
          <t>bergerpaints.com</t>
        </is>
      </c>
      <c r="BO56" s="106" t="inlineStr">
        <is>
          <t>Referrals</t>
        </is>
      </c>
      <c r="BP56" s="298" t="n">
        <v>0.05</v>
      </c>
      <c r="BQ56" s="118" t="n">
        <v>7543.86</v>
      </c>
    </row>
    <row r="57">
      <c r="A57" s="136" t="inlineStr">
        <is>
          <t>nerolac.com</t>
        </is>
      </c>
      <c r="B57" s="106" t="inlineStr">
        <is>
          <t>Referrals</t>
        </is>
      </c>
      <c r="C57" s="298" t="n">
        <v>0.03</v>
      </c>
      <c r="D57" s="137" t="n">
        <v>2498.01</v>
      </c>
      <c r="F57" s="136" t="inlineStr">
        <is>
          <t>nerolac.com</t>
        </is>
      </c>
      <c r="G57" s="106" t="inlineStr">
        <is>
          <t>Referrals</t>
        </is>
      </c>
      <c r="H57" s="298" t="n">
        <v>0.02</v>
      </c>
      <c r="I57" s="137" t="n">
        <v>1315.51</v>
      </c>
      <c r="K57" s="136" t="inlineStr">
        <is>
          <t>nerolac.com</t>
        </is>
      </c>
      <c r="L57" s="106" t="inlineStr">
        <is>
          <t>Referrals</t>
        </is>
      </c>
      <c r="M57" s="298" t="n">
        <v>0.02</v>
      </c>
      <c r="N57" s="137" t="n">
        <v>1671.38</v>
      </c>
      <c r="P57" s="136" t="inlineStr">
        <is>
          <t>nerolac.com</t>
        </is>
      </c>
      <c r="Q57" s="106" t="inlineStr">
        <is>
          <t>Referrals</t>
        </is>
      </c>
      <c r="R57" s="298" t="n">
        <v>0.02</v>
      </c>
      <c r="S57" s="137" t="n">
        <v>1534.7</v>
      </c>
      <c r="U57" s="106" t="inlineStr">
        <is>
          <t>nerolac.com</t>
        </is>
      </c>
      <c r="V57" s="106" t="inlineStr">
        <is>
          <t>Referrals</t>
        </is>
      </c>
      <c r="W57" s="298" t="n">
        <v>0.04</v>
      </c>
      <c r="X57" s="118" t="n">
        <v>4409.31</v>
      </c>
      <c r="Z57" s="106" t="inlineStr">
        <is>
          <t>nerolac.com</t>
        </is>
      </c>
      <c r="AA57" s="106" t="inlineStr">
        <is>
          <t>Referrals</t>
        </is>
      </c>
      <c r="AB57" s="298" t="n">
        <v>0.04</v>
      </c>
      <c r="AC57" s="118" t="n">
        <v>3577.06</v>
      </c>
      <c r="AE57" s="106" t="inlineStr">
        <is>
          <t>nerolac.com</t>
        </is>
      </c>
      <c r="AF57" s="106" t="inlineStr">
        <is>
          <t>Referrals</t>
        </is>
      </c>
      <c r="AG57" s="298" t="n">
        <v>0.03</v>
      </c>
      <c r="AH57" s="118" t="n">
        <v>2815.18</v>
      </c>
      <c r="AJ57" s="106" t="inlineStr">
        <is>
          <t>nerolac.com</t>
        </is>
      </c>
      <c r="AK57" s="106" t="inlineStr">
        <is>
          <t>Referrals</t>
        </is>
      </c>
      <c r="AL57" s="298" t="n">
        <v>0.03</v>
      </c>
      <c r="AM57" s="118" t="n">
        <v>1599.78</v>
      </c>
      <c r="AO57" s="106" t="inlineStr">
        <is>
          <t>nerolac.com</t>
        </is>
      </c>
      <c r="AP57" s="106" t="inlineStr">
        <is>
          <t>Referrals</t>
        </is>
      </c>
      <c r="AQ57" s="298" t="n">
        <v>0.01</v>
      </c>
      <c r="AR57" s="118" t="n">
        <v>904.17</v>
      </c>
      <c r="AT57" s="106" t="inlineStr">
        <is>
          <t>nerolac.com</t>
        </is>
      </c>
      <c r="AU57" s="106" t="inlineStr">
        <is>
          <t>Referrals</t>
        </is>
      </c>
      <c r="AV57" s="298" t="n">
        <v>0.01</v>
      </c>
      <c r="AW57" s="118" t="n">
        <v>1003.6</v>
      </c>
      <c r="AY57" s="106" t="inlineStr">
        <is>
          <t>nerolac.com</t>
        </is>
      </c>
      <c r="AZ57" s="106" t="inlineStr">
        <is>
          <t>Referrals</t>
        </is>
      </c>
      <c r="BA57" s="298" t="n">
        <v>0.01</v>
      </c>
      <c r="BB57" s="118" t="n">
        <v>1138.33</v>
      </c>
      <c r="BD57" s="106" t="inlineStr">
        <is>
          <t>nerolac.com</t>
        </is>
      </c>
      <c r="BE57" s="106" t="inlineStr">
        <is>
          <t>Referrals</t>
        </is>
      </c>
      <c r="BF57" s="298" t="n">
        <v>0.01</v>
      </c>
      <c r="BG57" s="118" t="n">
        <v>1057.27</v>
      </c>
      <c r="BI57" s="106" t="inlineStr">
        <is>
          <t>nerolac.com</t>
        </is>
      </c>
      <c r="BJ57" s="106" t="inlineStr">
        <is>
          <t>Referrals</t>
        </is>
      </c>
      <c r="BK57" s="298" t="n">
        <v>0.01</v>
      </c>
      <c r="BL57" s="118" t="n">
        <v>3535.53</v>
      </c>
      <c r="BN57" s="106" t="inlineStr">
        <is>
          <t>nerolac.com</t>
        </is>
      </c>
      <c r="BO57" s="106" t="inlineStr">
        <is>
          <t>Referrals</t>
        </is>
      </c>
      <c r="BP57" s="298" t="n">
        <v>0.04</v>
      </c>
      <c r="BQ57" s="118" t="n">
        <v>7346.38</v>
      </c>
    </row>
    <row r="58">
      <c r="A58" s="136" t="inlineStr">
        <is>
          <t>asianpaints.com</t>
        </is>
      </c>
      <c r="B58" s="106" t="inlineStr">
        <is>
          <t>Social</t>
        </is>
      </c>
      <c r="C58" s="298" t="n">
        <v>0.86</v>
      </c>
      <c r="D58" s="137" t="n">
        <v>204601.06</v>
      </c>
      <c r="F58" s="136" t="inlineStr">
        <is>
          <t>asianpaints.com</t>
        </is>
      </c>
      <c r="G58" s="106" t="inlineStr">
        <is>
          <t>Social</t>
        </is>
      </c>
      <c r="H58" s="298" t="n">
        <v>0.75</v>
      </c>
      <c r="I58" s="137" t="n">
        <v>236594.84</v>
      </c>
      <c r="K58" s="136" t="inlineStr">
        <is>
          <t>asianpaints.com</t>
        </is>
      </c>
      <c r="L58" s="106" t="inlineStr">
        <is>
          <t>Social</t>
        </is>
      </c>
      <c r="M58" s="298" t="n">
        <v>0.8</v>
      </c>
      <c r="N58" s="137" t="n">
        <v>210695.38</v>
      </c>
      <c r="P58" s="136" t="inlineStr">
        <is>
          <t>asianpaints.com</t>
        </is>
      </c>
      <c r="Q58" s="106" t="inlineStr">
        <is>
          <t>Social</t>
        </is>
      </c>
      <c r="R58" s="298" t="n">
        <v>0.8100000000000001</v>
      </c>
      <c r="S58" s="137" t="n">
        <v>181100.71</v>
      </c>
      <c r="U58" s="106" t="inlineStr">
        <is>
          <t>asianpaints.com</t>
        </is>
      </c>
      <c r="V58" s="106" t="inlineStr">
        <is>
          <t>Social</t>
        </is>
      </c>
      <c r="W58" s="298" t="n">
        <v>0.89</v>
      </c>
      <c r="X58" s="118" t="n">
        <v>168708.06</v>
      </c>
      <c r="Z58" s="106" t="inlineStr">
        <is>
          <t>asianpaints.com</t>
        </is>
      </c>
      <c r="AA58" s="106" t="inlineStr">
        <is>
          <t>Social</t>
        </is>
      </c>
      <c r="AB58" s="298" t="n">
        <v>0.76</v>
      </c>
      <c r="AC58" s="118" t="n">
        <v>204300.3</v>
      </c>
      <c r="AE58" s="106" t="inlineStr">
        <is>
          <t>asianpaints.com</t>
        </is>
      </c>
      <c r="AF58" s="106" t="inlineStr">
        <is>
          <t>Social</t>
        </is>
      </c>
      <c r="AG58" s="298" t="n">
        <v>0.89</v>
      </c>
      <c r="AH58" s="118" t="n">
        <v>260866.98</v>
      </c>
      <c r="AJ58" s="106" t="inlineStr">
        <is>
          <t>asianpaints.com</t>
        </is>
      </c>
      <c r="AK58" s="106" t="inlineStr">
        <is>
          <t>Social</t>
        </is>
      </c>
      <c r="AL58" s="298" t="n">
        <v>0.9</v>
      </c>
      <c r="AM58" s="118" t="n">
        <v>217953.21</v>
      </c>
      <c r="AO58" s="106" t="inlineStr">
        <is>
          <t>asianpaints.com</t>
        </is>
      </c>
      <c r="AP58" s="106" t="inlineStr">
        <is>
          <t>Social</t>
        </is>
      </c>
      <c r="AQ58" s="298" t="n">
        <v>0.8</v>
      </c>
      <c r="AR58" s="118" t="n">
        <v>209845.16</v>
      </c>
      <c r="AT58" s="106" t="inlineStr">
        <is>
          <t>asianpaints.com</t>
        </is>
      </c>
      <c r="AU58" s="106" t="inlineStr">
        <is>
          <t>Social</t>
        </is>
      </c>
      <c r="AV58" s="298" t="n">
        <v>0.9399999999999999</v>
      </c>
      <c r="AW58" s="118" t="n">
        <v>225276.04</v>
      </c>
      <c r="AY58" s="106" t="inlineStr">
        <is>
          <t>asianpaints.com</t>
        </is>
      </c>
      <c r="AZ58" s="106" t="inlineStr">
        <is>
          <t>Social</t>
        </is>
      </c>
      <c r="BA58" s="298" t="n">
        <v>0.92</v>
      </c>
      <c r="BB58" s="118" t="n">
        <v>215609.64</v>
      </c>
      <c r="BD58" s="106" t="inlineStr">
        <is>
          <t>asianpaints.com</t>
        </is>
      </c>
      <c r="BE58" s="106" t="inlineStr">
        <is>
          <t>Social</t>
        </is>
      </c>
      <c r="BF58" s="298" t="n">
        <v>0.93</v>
      </c>
      <c r="BG58" s="118" t="n">
        <v>378841.69</v>
      </c>
      <c r="BI58" s="106" t="inlineStr">
        <is>
          <t>asianpaints.com</t>
        </is>
      </c>
      <c r="BJ58" s="106" t="inlineStr">
        <is>
          <t>Social</t>
        </is>
      </c>
      <c r="BK58" s="298" t="n">
        <v>0.72</v>
      </c>
      <c r="BL58" s="118" t="n">
        <v>30501.24</v>
      </c>
      <c r="BN58" s="106" t="inlineStr">
        <is>
          <t>asianpaints.com</t>
        </is>
      </c>
      <c r="BO58" s="106" t="inlineStr">
        <is>
          <t>Social</t>
        </is>
      </c>
      <c r="BP58" s="298" t="n">
        <v>0.66</v>
      </c>
      <c r="BQ58" s="118" t="n">
        <v>34359.01</v>
      </c>
    </row>
    <row r="59">
      <c r="A59" s="136" t="inlineStr">
        <is>
          <t>birlaopus.com</t>
        </is>
      </c>
      <c r="B59" s="106" t="inlineStr">
        <is>
          <t>Social</t>
        </is>
      </c>
      <c r="C59" s="298" t="n">
        <v>0.07000000000000001</v>
      </c>
      <c r="D59" s="137" t="n">
        <v>17625.59</v>
      </c>
      <c r="F59" s="136" t="inlineStr">
        <is>
          <t>birlaopus.com</t>
        </is>
      </c>
      <c r="G59" s="106" t="inlineStr">
        <is>
          <t>Social</t>
        </is>
      </c>
      <c r="H59" s="298" t="n">
        <v>0.05</v>
      </c>
      <c r="I59" s="137" t="n">
        <v>12295.94</v>
      </c>
      <c r="K59" s="136" t="inlineStr">
        <is>
          <t>birlaopus.com</t>
        </is>
      </c>
      <c r="L59" s="106" t="inlineStr">
        <is>
          <t>Social</t>
        </is>
      </c>
      <c r="M59" s="298" t="n">
        <v>0.04</v>
      </c>
      <c r="N59" s="137" t="n">
        <v>9511.68</v>
      </c>
      <c r="P59" s="136" t="inlineStr">
        <is>
          <t>birlaopus.com</t>
        </is>
      </c>
      <c r="Q59" s="106" t="inlineStr">
        <is>
          <t>Social</t>
        </is>
      </c>
      <c r="R59" s="298" t="n">
        <v>0.03</v>
      </c>
      <c r="S59" s="137" t="n">
        <v>8260.209999999999</v>
      </c>
      <c r="U59" s="106" t="inlineStr">
        <is>
          <t>birlaopus.com</t>
        </is>
      </c>
      <c r="V59" s="106" t="inlineStr">
        <is>
          <t>Social</t>
        </is>
      </c>
      <c r="W59" s="298" t="n">
        <v>0.02</v>
      </c>
      <c r="X59" s="118" t="n">
        <v>5278.77</v>
      </c>
      <c r="Z59" s="106" t="inlineStr">
        <is>
          <t>birlaopus.com</t>
        </is>
      </c>
      <c r="AA59" s="106" t="inlineStr">
        <is>
          <t>Social</t>
        </is>
      </c>
      <c r="AB59" s="298" t="n">
        <v>0.03</v>
      </c>
      <c r="AC59" s="118" t="n">
        <v>6424.21</v>
      </c>
      <c r="AE59" s="106" t="inlineStr">
        <is>
          <t>birlaopus.com</t>
        </is>
      </c>
      <c r="AF59" s="106" t="inlineStr">
        <is>
          <t>Social</t>
        </is>
      </c>
      <c r="AG59" s="298" t="n">
        <v>0.05</v>
      </c>
      <c r="AH59" s="118" t="n">
        <v>15579.62</v>
      </c>
      <c r="AJ59" s="106" t="inlineStr">
        <is>
          <t>birlaopus.com</t>
        </is>
      </c>
      <c r="AK59" s="106" t="inlineStr">
        <is>
          <t>Social</t>
        </is>
      </c>
      <c r="AL59" s="298" t="n">
        <v>0.02</v>
      </c>
      <c r="AM59" s="118" t="n">
        <v>5349.22</v>
      </c>
      <c r="AO59" s="106" t="inlineStr">
        <is>
          <t>birlaopus.com</t>
        </is>
      </c>
      <c r="AP59" s="106" t="inlineStr">
        <is>
          <t>Social</t>
        </is>
      </c>
      <c r="AQ59" s="298" t="n">
        <v>0.04</v>
      </c>
      <c r="AR59" s="118" t="n">
        <v>11071.27</v>
      </c>
      <c r="AT59" s="106" t="inlineStr">
        <is>
          <t>birlaopus.com</t>
        </is>
      </c>
      <c r="AU59" s="106" t="inlineStr">
        <is>
          <t>Social</t>
        </is>
      </c>
      <c r="AV59" s="298" t="n">
        <v>0.05</v>
      </c>
      <c r="AW59" s="118" t="n">
        <v>12456.61</v>
      </c>
      <c r="AY59" s="106" t="inlineStr">
        <is>
          <t>birlaopus.com</t>
        </is>
      </c>
      <c r="AZ59" s="106" t="inlineStr">
        <is>
          <t>Social</t>
        </is>
      </c>
      <c r="BA59" s="298" t="n">
        <v>0.02</v>
      </c>
      <c r="BB59" s="118" t="n">
        <v>7860.92</v>
      </c>
      <c r="BD59" s="106" t="inlineStr">
        <is>
          <t>birlaopus.com</t>
        </is>
      </c>
      <c r="BE59" s="106" t="inlineStr">
        <is>
          <t>Social</t>
        </is>
      </c>
      <c r="BF59" s="298" t="n">
        <v>0.01</v>
      </c>
      <c r="BG59" s="118" t="n">
        <v>4522.45</v>
      </c>
      <c r="BI59" s="106" t="inlineStr">
        <is>
          <t>birlaopus.com</t>
        </is>
      </c>
      <c r="BJ59" s="106" t="inlineStr">
        <is>
          <t>Social</t>
        </is>
      </c>
      <c r="BK59" s="298" t="n">
        <v>0.03</v>
      </c>
      <c r="BL59" s="118" t="n">
        <v>1265.13</v>
      </c>
      <c r="BN59" s="106" t="inlineStr">
        <is>
          <t>birlaopus.com</t>
        </is>
      </c>
      <c r="BO59" s="106" t="inlineStr">
        <is>
          <t>Social</t>
        </is>
      </c>
      <c r="BP59" s="298" t="n">
        <v>0.07000000000000001</v>
      </c>
      <c r="BQ59" s="118" t="n">
        <v>2719.69</v>
      </c>
    </row>
    <row r="60">
      <c r="A60" s="136" t="inlineStr">
        <is>
          <t>bergerpaints.com</t>
        </is>
      </c>
      <c r="B60" s="106" t="inlineStr">
        <is>
          <t>Social</t>
        </is>
      </c>
      <c r="C60" s="298" t="n">
        <v>0.06</v>
      </c>
      <c r="D60" s="137" t="n">
        <v>17935.8</v>
      </c>
      <c r="F60" s="136" t="inlineStr">
        <is>
          <t>bergerpaints.com</t>
        </is>
      </c>
      <c r="G60" s="106" t="inlineStr">
        <is>
          <t>Social</t>
        </is>
      </c>
      <c r="H60" s="298" t="n">
        <v>0.07000000000000001</v>
      </c>
      <c r="I60" s="137" t="n">
        <v>17166.26</v>
      </c>
      <c r="K60" s="136" t="inlineStr">
        <is>
          <t>bergerpaints.com</t>
        </is>
      </c>
      <c r="L60" s="106" t="inlineStr">
        <is>
          <t>Social</t>
        </is>
      </c>
      <c r="M60" s="298" t="n">
        <v>0.07000000000000001</v>
      </c>
      <c r="N60" s="137" t="n">
        <v>13721.05</v>
      </c>
      <c r="P60" s="136" t="inlineStr">
        <is>
          <t>bergerpaints.com</t>
        </is>
      </c>
      <c r="Q60" s="106" t="inlineStr">
        <is>
          <t>Social</t>
        </is>
      </c>
      <c r="R60" s="298" t="n">
        <v>0.07000000000000001</v>
      </c>
      <c r="S60" s="137" t="n">
        <v>17651.41</v>
      </c>
      <c r="U60" s="106" t="inlineStr">
        <is>
          <t>bergerpaints.com</t>
        </is>
      </c>
      <c r="V60" s="106" t="inlineStr">
        <is>
          <t>Social</t>
        </is>
      </c>
      <c r="W60" s="298" t="n">
        <v>0.07000000000000001</v>
      </c>
      <c r="X60" s="118" t="n">
        <v>14201.52</v>
      </c>
      <c r="Z60" s="106" t="inlineStr">
        <is>
          <t>bergerpaints.com</t>
        </is>
      </c>
      <c r="AA60" s="106" t="inlineStr">
        <is>
          <t>Social</t>
        </is>
      </c>
      <c r="AB60" s="298" t="n">
        <v>0.1</v>
      </c>
      <c r="AC60" s="118" t="n">
        <v>22133.87</v>
      </c>
      <c r="AE60" s="106" t="inlineStr">
        <is>
          <t>bergerpaints.com</t>
        </is>
      </c>
      <c r="AF60" s="106" t="inlineStr">
        <is>
          <t>Social</t>
        </is>
      </c>
      <c r="AG60" s="298" t="n">
        <v>0.08</v>
      </c>
      <c r="AH60" s="118" t="n">
        <v>21703.5</v>
      </c>
      <c r="AJ60" s="106" t="inlineStr">
        <is>
          <t>bergerpaints.com</t>
        </is>
      </c>
      <c r="AK60" s="106" t="inlineStr">
        <is>
          <t>Social</t>
        </is>
      </c>
      <c r="AL60" s="298" t="n">
        <v>0.08</v>
      </c>
      <c r="AM60" s="118" t="n">
        <v>19407.05</v>
      </c>
      <c r="AO60" s="106" t="inlineStr">
        <is>
          <t>bergerpaints.com</t>
        </is>
      </c>
      <c r="AP60" s="106" t="inlineStr">
        <is>
          <t>Social</t>
        </is>
      </c>
      <c r="AQ60" s="298" t="n">
        <v>0.08</v>
      </c>
      <c r="AR60" s="118" t="n">
        <v>19835.52</v>
      </c>
      <c r="AT60" s="106" t="inlineStr">
        <is>
          <t>bergerpaints.com</t>
        </is>
      </c>
      <c r="AU60" s="106" t="inlineStr">
        <is>
          <t>Social</t>
        </is>
      </c>
      <c r="AV60" s="298" t="n">
        <v>0.08</v>
      </c>
      <c r="AW60" s="118" t="n">
        <v>19544.87</v>
      </c>
      <c r="AY60" s="106" t="inlineStr">
        <is>
          <t>bergerpaints.com</t>
        </is>
      </c>
      <c r="AZ60" s="106" t="inlineStr">
        <is>
          <t>Social</t>
        </is>
      </c>
      <c r="BA60" s="298" t="n">
        <v>0.09</v>
      </c>
      <c r="BB60" s="118" t="n">
        <v>22720.58</v>
      </c>
      <c r="BD60" s="106" t="inlineStr">
        <is>
          <t>bergerpaints.com</t>
        </is>
      </c>
      <c r="BE60" s="106" t="inlineStr">
        <is>
          <t>Social</t>
        </is>
      </c>
      <c r="BF60" s="298" t="n">
        <v>0.06</v>
      </c>
      <c r="BG60" s="118" t="n">
        <v>26502.43</v>
      </c>
      <c r="BI60" s="106" t="inlineStr">
        <is>
          <t>bergerpaints.com</t>
        </is>
      </c>
      <c r="BJ60" s="106" t="inlineStr">
        <is>
          <t>Social</t>
        </is>
      </c>
      <c r="BK60" s="298" t="n">
        <v>0.16</v>
      </c>
      <c r="BL60" s="118" t="n">
        <v>6688.31</v>
      </c>
      <c r="BN60" s="106" t="inlineStr">
        <is>
          <t>bergerpaints.com</t>
        </is>
      </c>
      <c r="BO60" s="106" t="inlineStr">
        <is>
          <t>Social</t>
        </is>
      </c>
      <c r="BP60" s="298" t="n">
        <v>0.24</v>
      </c>
      <c r="BQ60" s="118" t="n">
        <v>8307.290000000001</v>
      </c>
    </row>
    <row r="61">
      <c r="A61" s="141" t="inlineStr">
        <is>
          <t>nerolac.com</t>
        </is>
      </c>
      <c r="B61" s="142" t="inlineStr">
        <is>
          <t>Social</t>
        </is>
      </c>
      <c r="C61" s="301" t="n">
        <v>0.04</v>
      </c>
      <c r="D61" s="144" t="n">
        <v>14099.89</v>
      </c>
      <c r="F61" s="141" t="inlineStr">
        <is>
          <t>nerolac.com</t>
        </is>
      </c>
      <c r="G61" s="142" t="inlineStr">
        <is>
          <t>Social</t>
        </is>
      </c>
      <c r="H61" s="301" t="n">
        <v>0.03</v>
      </c>
      <c r="I61" s="144" t="n">
        <v>7761.02</v>
      </c>
      <c r="K61" s="141" t="inlineStr">
        <is>
          <t>nerolac.com</t>
        </is>
      </c>
      <c r="L61" s="142" t="inlineStr">
        <is>
          <t>Social</t>
        </is>
      </c>
      <c r="M61" s="301" t="n">
        <v>0.04</v>
      </c>
      <c r="N61" s="144" t="n">
        <v>7814.95</v>
      </c>
      <c r="P61" s="141" t="inlineStr">
        <is>
          <t>nerolac.com</t>
        </is>
      </c>
      <c r="Q61" s="142" t="inlineStr">
        <is>
          <t>Social</t>
        </is>
      </c>
      <c r="R61" s="301" t="n">
        <v>0.04</v>
      </c>
      <c r="S61" s="144" t="n">
        <v>7974.72</v>
      </c>
      <c r="U61" s="106" t="inlineStr">
        <is>
          <t>nerolac.com</t>
        </is>
      </c>
      <c r="V61" s="106" t="inlineStr">
        <is>
          <t>Social</t>
        </is>
      </c>
      <c r="W61" s="298" t="n">
        <v>0.03</v>
      </c>
      <c r="X61" s="118" t="n">
        <v>8784.4</v>
      </c>
      <c r="Z61" s="106" t="inlineStr">
        <is>
          <t>nerolac.com</t>
        </is>
      </c>
      <c r="AA61" s="106" t="inlineStr">
        <is>
          <t>Social</t>
        </is>
      </c>
      <c r="AB61" s="298" t="n">
        <v>0.05</v>
      </c>
      <c r="AC61" s="118" t="n">
        <v>9762.51</v>
      </c>
      <c r="AE61" s="106" t="inlineStr">
        <is>
          <t>nerolac.com</t>
        </is>
      </c>
      <c r="AF61" s="106" t="inlineStr">
        <is>
          <t>Social</t>
        </is>
      </c>
      <c r="AG61" s="298" t="n">
        <v>0.03</v>
      </c>
      <c r="AH61" s="118" t="n">
        <v>9453.92</v>
      </c>
      <c r="AJ61" s="106" t="inlineStr">
        <is>
          <t>nerolac.com</t>
        </is>
      </c>
      <c r="AK61" s="106" t="inlineStr">
        <is>
          <t>Social</t>
        </is>
      </c>
      <c r="AL61" s="298" t="n">
        <v>0.02</v>
      </c>
      <c r="AM61" s="118" t="n">
        <v>5678.48</v>
      </c>
      <c r="AO61" s="106" t="inlineStr">
        <is>
          <t>nerolac.com</t>
        </is>
      </c>
      <c r="AP61" s="106" t="inlineStr">
        <is>
          <t>Social</t>
        </is>
      </c>
      <c r="AQ61" s="298" t="n">
        <v>0.02</v>
      </c>
      <c r="AR61" s="118" t="n">
        <v>3662.77</v>
      </c>
      <c r="AT61" s="106" t="inlineStr">
        <is>
          <t>nerolac.com</t>
        </is>
      </c>
      <c r="AU61" s="106" t="inlineStr">
        <is>
          <t>Social</t>
        </is>
      </c>
      <c r="AV61" s="298" t="n">
        <v>0.02</v>
      </c>
      <c r="AW61" s="118" t="n">
        <v>7342.72</v>
      </c>
      <c r="AY61" s="106" t="inlineStr">
        <is>
          <t>nerolac.com</t>
        </is>
      </c>
      <c r="AZ61" s="106" t="inlineStr">
        <is>
          <t>Social</t>
        </is>
      </c>
      <c r="BA61" s="298" t="n">
        <v>0.03</v>
      </c>
      <c r="BB61" s="118" t="n">
        <v>6928.13</v>
      </c>
      <c r="BD61" s="106" t="inlineStr">
        <is>
          <t>nerolac.com</t>
        </is>
      </c>
      <c r="BE61" s="106" t="inlineStr">
        <is>
          <t>Social</t>
        </is>
      </c>
      <c r="BF61" s="298" t="n">
        <v>0.02</v>
      </c>
      <c r="BG61" s="118" t="n">
        <v>7506.03</v>
      </c>
      <c r="BI61" s="106" t="inlineStr">
        <is>
          <t>nerolac.com</t>
        </is>
      </c>
      <c r="BJ61" s="106" t="inlineStr">
        <is>
          <t>Social</t>
        </is>
      </c>
      <c r="BK61" s="298" t="n">
        <v>0.02</v>
      </c>
      <c r="BL61" s="118" t="n">
        <v>1033.83</v>
      </c>
      <c r="BN61" s="106" t="inlineStr">
        <is>
          <t>nerolac.com</t>
        </is>
      </c>
      <c r="BO61" s="106" t="inlineStr">
        <is>
          <t>Social</t>
        </is>
      </c>
      <c r="BP61" s="298" t="n">
        <v>0.03</v>
      </c>
      <c r="BQ61" s="118" t="n">
        <v>1152.37</v>
      </c>
    </row>
    <row r="62"/>
    <row r="63">
      <c r="A63" s="152" t="inlineStr">
        <is>
          <t>Paid Search</t>
        </is>
      </c>
    </row>
    <row r="64">
      <c r="A64" s="5" t="inlineStr">
        <is>
          <t>Comparison TY vs LY</t>
        </is>
      </c>
      <c r="B64" s="5" t="n"/>
      <c r="C64" s="5" t="n"/>
      <c r="D64" s="17">
        <f>D50/D19-1</f>
        <v/>
      </c>
      <c r="F64" s="5" t="inlineStr">
        <is>
          <t>Comparison TY vs LY</t>
        </is>
      </c>
      <c r="G64" s="5" t="n"/>
      <c r="H64" s="5" t="n"/>
      <c r="I64" s="17">
        <f>I50/I19-1</f>
        <v/>
      </c>
      <c r="K64" s="5" t="inlineStr">
        <is>
          <t>Comparison TY vs LY</t>
        </is>
      </c>
      <c r="L64" s="5" t="n"/>
      <c r="M64" s="5" t="n"/>
      <c r="N64" s="17">
        <f>N50/N19-1</f>
        <v/>
      </c>
      <c r="P64" s="5" t="inlineStr">
        <is>
          <t>Comparison TY vs LY</t>
        </is>
      </c>
      <c r="Q64" s="5" t="n"/>
      <c r="R64" s="5" t="n"/>
      <c r="S64" s="17">
        <f>S50/S19-1</f>
        <v/>
      </c>
      <c r="U64" s="5" t="inlineStr">
        <is>
          <t>Comparison TY vs LY</t>
        </is>
      </c>
      <c r="V64" s="5" t="n"/>
      <c r="W64" s="5" t="n"/>
      <c r="X64" s="17">
        <f>X50/X19-1</f>
        <v/>
      </c>
      <c r="Z64" s="5" t="inlineStr">
        <is>
          <t>Comparison TY vs LY</t>
        </is>
      </c>
      <c r="AA64" s="5" t="n"/>
      <c r="AB64" s="5" t="n"/>
      <c r="AC64" s="17">
        <f>AC50/AC19-1</f>
        <v/>
      </c>
      <c r="AE64" s="5" t="inlineStr">
        <is>
          <t>Comparison TY vs LY</t>
        </is>
      </c>
      <c r="AF64" s="5" t="n"/>
      <c r="AG64" s="5" t="n"/>
      <c r="AH64" s="17">
        <f>AH50/AH19-1</f>
        <v/>
      </c>
      <c r="AJ64" s="5" t="inlineStr">
        <is>
          <t>Comparison TY vs LY</t>
        </is>
      </c>
      <c r="AK64" s="5" t="n"/>
      <c r="AL64" s="5" t="n"/>
      <c r="AM64" s="17">
        <f>AM50/AM19-1</f>
        <v/>
      </c>
      <c r="AO64" s="5" t="inlineStr">
        <is>
          <t>Comparison TY vs LY</t>
        </is>
      </c>
      <c r="AP64" s="5" t="n"/>
      <c r="AQ64" s="5" t="n"/>
      <c r="AR64" s="17">
        <f>AR50/AR19-1</f>
        <v/>
      </c>
      <c r="AT64" s="5" t="inlineStr">
        <is>
          <t>Comparison TY vs LY</t>
        </is>
      </c>
      <c r="AU64" s="5" t="n"/>
      <c r="AV64" s="5" t="n"/>
      <c r="AW64" s="99">
        <f>AW50/AW19-1</f>
        <v/>
      </c>
      <c r="AY64" s="5" t="inlineStr">
        <is>
          <t>Comparison TY vs LY</t>
        </is>
      </c>
      <c r="AZ64" s="5" t="n"/>
      <c r="BA64" s="5" t="n"/>
      <c r="BB64" s="99">
        <f>BB50/BB19-1</f>
        <v/>
      </c>
      <c r="BD64" s="5" t="inlineStr">
        <is>
          <t>Comparison TY vs LY</t>
        </is>
      </c>
      <c r="BE64" s="5" t="n"/>
      <c r="BF64" s="5" t="n"/>
      <c r="BG64" s="99">
        <f>BG50/BG19-1</f>
        <v/>
      </c>
      <c r="BI64" s="5" t="inlineStr">
        <is>
          <t>Comparison TY vs LY</t>
        </is>
      </c>
      <c r="BJ64" s="5" t="n"/>
      <c r="BK64" s="5" t="n"/>
      <c r="BL64" s="99">
        <f>BL50/BL19-1</f>
        <v/>
      </c>
      <c r="BN64" s="5" t="inlineStr">
        <is>
          <t>Comparison TY vs LY</t>
        </is>
      </c>
      <c r="BO64" s="5" t="n"/>
      <c r="BP64" s="5" t="n"/>
      <c r="BQ64" s="99">
        <f>BQ50/BQ19-1</f>
        <v/>
      </c>
    </row>
    <row r="65"/>
    <row r="66" customFormat="1" s="1">
      <c r="A66" s="121" t="inlineStr">
        <is>
          <t>2024-25</t>
        </is>
      </c>
    </row>
    <row r="67" customFormat="1" s="1">
      <c r="A67" s="122" t="inlineStr">
        <is>
          <t>Total AP Visits</t>
        </is>
      </c>
      <c r="B67" s="304" t="n"/>
      <c r="D67" s="9">
        <f>SUM(D3,D7,D11,D15,D19,D23,D27)</f>
        <v/>
      </c>
      <c r="G67" s="304" t="n"/>
      <c r="I67" s="9">
        <f>SUM(I3,I7,I11,I15,I19,I23,I27)</f>
        <v/>
      </c>
      <c r="L67" s="304" t="n"/>
      <c r="N67" s="9">
        <f>SUM(N3,N7,N11,N15,N19,N23,N27)</f>
        <v/>
      </c>
      <c r="Q67" s="304" t="n"/>
      <c r="S67" s="9">
        <f>SUM(S3,S7,S11,S15,S19,S23,S27)</f>
        <v/>
      </c>
      <c r="V67" s="304" t="n"/>
      <c r="X67" s="9">
        <f>SUM(X3,X7,X11,X15,X19,X23,X27)</f>
        <v/>
      </c>
      <c r="AA67" s="304" t="n"/>
      <c r="AC67" s="9">
        <f>SUM(AC3,AC7,AC11,AC15,AC19,AC23,AC27)</f>
        <v/>
      </c>
      <c r="AF67" s="304" t="n"/>
      <c r="AH67" s="9">
        <f>SUM(AH3,AH7,AH11,AH15,AH19,AH23,AH27)</f>
        <v/>
      </c>
      <c r="AK67" s="304" t="n"/>
      <c r="AM67" s="9">
        <f>SUM(AM3,AM7,AM11,AM15,AM19,AM23,AM27)</f>
        <v/>
      </c>
      <c r="AP67" s="304" t="n"/>
      <c r="AR67" s="9">
        <f>SUM(AR3,AR7,AR11,AR15,AR19,AR23,AR27)</f>
        <v/>
      </c>
      <c r="AU67" s="304" t="n"/>
      <c r="AW67" s="9">
        <f>SUM(AW3,AW7,AW11,AW15,AW19,AW23,AW27)</f>
        <v/>
      </c>
      <c r="BB67" s="9">
        <f>SUM(BB3,BB7,BB11,BB15,BB19,BB23,BB27)</f>
        <v/>
      </c>
      <c r="BG67" s="9">
        <f>SUM(BG3,BG7,BG11,BG15,BG19,BG23,BG27)</f>
        <v/>
      </c>
      <c r="BL67" s="9">
        <f>SUM(BL3,BL7,BL11,BL15,BL19,BL23,BL27)</f>
        <v/>
      </c>
      <c r="BQ67" s="9">
        <f>SUM(BQ3,BQ7,BQ11,BQ15,BQ19,BQ23,BQ27)</f>
        <v/>
      </c>
      <c r="BS67" s="9">
        <f>SUM(BL67:BQ67)</f>
        <v/>
      </c>
    </row>
    <row r="68" customFormat="1" s="1">
      <c r="A68" s="122" t="inlineStr">
        <is>
          <t>Paid Search Traffic</t>
        </is>
      </c>
      <c r="B68" s="9" t="n"/>
      <c r="D68" s="9">
        <f>D19</f>
        <v/>
      </c>
      <c r="G68" s="9" t="n"/>
      <c r="I68" s="9">
        <f>I19</f>
        <v/>
      </c>
      <c r="L68" s="9" t="n"/>
      <c r="N68" s="9">
        <f>N19</f>
        <v/>
      </c>
      <c r="Q68" s="9" t="n"/>
      <c r="S68" s="9">
        <f>S19</f>
        <v/>
      </c>
      <c r="V68" s="9" t="n"/>
      <c r="X68" s="9">
        <f>X19</f>
        <v/>
      </c>
      <c r="AA68" s="9" t="n"/>
      <c r="AC68" s="9">
        <f>AC19</f>
        <v/>
      </c>
      <c r="AF68" s="9" t="n"/>
      <c r="AH68" s="9">
        <f>AH19</f>
        <v/>
      </c>
      <c r="AK68" s="9" t="n"/>
      <c r="AM68" s="9">
        <f>AM19</f>
        <v/>
      </c>
      <c r="AP68" s="9" t="n"/>
      <c r="AR68" s="9">
        <f>AR19</f>
        <v/>
      </c>
      <c r="AU68" s="9" t="n"/>
      <c r="AW68" s="9">
        <f>AW19</f>
        <v/>
      </c>
      <c r="BB68" s="9">
        <f>BB19</f>
        <v/>
      </c>
      <c r="BG68" s="9">
        <f>BG19</f>
        <v/>
      </c>
      <c r="BL68" s="9">
        <f>BL19</f>
        <v/>
      </c>
      <c r="BQ68" s="9">
        <f>BQ19</f>
        <v/>
      </c>
      <c r="BS68" s="9">
        <f>SUM(BL68:BQ68)</f>
        <v/>
      </c>
      <c r="BT68" s="11">
        <f>BS68/BS67</f>
        <v/>
      </c>
    </row>
    <row r="69" customFormat="1" s="1">
      <c r="A69" s="122" t="inlineStr">
        <is>
          <t>Paid Search %</t>
        </is>
      </c>
      <c r="B69" s="20" t="n"/>
      <c r="D69" s="119">
        <f>D68/D67</f>
        <v/>
      </c>
      <c r="E69" s="72" t="n"/>
      <c r="F69" s="72" t="n"/>
      <c r="G69" s="119" t="n"/>
      <c r="H69" s="72" t="n"/>
      <c r="I69" s="119">
        <f>I68/I67</f>
        <v/>
      </c>
      <c r="J69" s="72" t="n"/>
      <c r="K69" s="72" t="n"/>
      <c r="L69" s="119" t="n"/>
      <c r="M69" s="72" t="n"/>
      <c r="N69" s="119">
        <f>N68/N67</f>
        <v/>
      </c>
      <c r="O69" s="72" t="n"/>
      <c r="P69" s="72" t="n"/>
      <c r="Q69" s="119" t="n"/>
      <c r="R69" s="72" t="n"/>
      <c r="S69" s="119">
        <f>S68/S67</f>
        <v/>
      </c>
      <c r="T69" s="72" t="n"/>
      <c r="U69" s="72" t="n"/>
      <c r="V69" s="119" t="n"/>
      <c r="W69" s="72" t="n"/>
      <c r="X69" s="119">
        <f>X68/X67</f>
        <v/>
      </c>
      <c r="Y69" s="72" t="n"/>
      <c r="Z69" s="72" t="n"/>
      <c r="AA69" s="119" t="n"/>
      <c r="AB69" s="72" t="n"/>
      <c r="AC69" s="119">
        <f>AC68/AC67</f>
        <v/>
      </c>
      <c r="AD69" s="72" t="n"/>
      <c r="AE69" s="72" t="n"/>
      <c r="AF69" s="119" t="n"/>
      <c r="AG69" s="72" t="n"/>
      <c r="AH69" s="119">
        <f>AH68/AH67</f>
        <v/>
      </c>
      <c r="AI69" s="72" t="n"/>
      <c r="AJ69" s="72" t="n"/>
      <c r="AK69" s="119" t="n"/>
      <c r="AL69" s="72" t="n"/>
      <c r="AM69" s="119">
        <f>AM68/AM67</f>
        <v/>
      </c>
      <c r="AN69" s="72" t="n"/>
      <c r="AO69" s="72" t="n"/>
      <c r="AP69" s="119" t="n"/>
      <c r="AQ69" s="72" t="n"/>
      <c r="AR69" s="119">
        <f>AR68/AR67</f>
        <v/>
      </c>
      <c r="AS69" s="72" t="n"/>
      <c r="AT69" s="72" t="n"/>
      <c r="AU69" s="119" t="n"/>
      <c r="AV69" s="72" t="n"/>
      <c r="AW69" s="119">
        <f>AW68/AW67</f>
        <v/>
      </c>
      <c r="AX69" s="72" t="n"/>
      <c r="AY69" s="72" t="n"/>
      <c r="AZ69" s="72" t="n"/>
      <c r="BA69" s="72" t="n"/>
      <c r="BB69" s="119">
        <f>BB68/BB67</f>
        <v/>
      </c>
      <c r="BD69" s="72" t="n"/>
      <c r="BE69" s="72" t="n"/>
      <c r="BF69" s="72" t="n"/>
      <c r="BG69" s="119">
        <f>BG68/BG67</f>
        <v/>
      </c>
      <c r="BI69" s="72" t="n"/>
      <c r="BJ69" s="72" t="n"/>
      <c r="BK69" s="72" t="n"/>
      <c r="BL69" s="119">
        <f>BL68/BL67</f>
        <v/>
      </c>
      <c r="BN69" s="72" t="n"/>
      <c r="BO69" s="72" t="n"/>
      <c r="BP69" s="72" t="n"/>
      <c r="BQ69" s="119">
        <f>BQ68/BQ67</f>
        <v/>
      </c>
    </row>
    <row r="70" customFormat="1" s="1">
      <c r="A70" s="123" t="n"/>
    </row>
    <row r="71" customFormat="1" s="1">
      <c r="A71" s="124" t="inlineStr">
        <is>
          <t>Total Opus Visits</t>
        </is>
      </c>
      <c r="B71" s="304" t="n"/>
      <c r="D71" s="9">
        <f>SUM(D4,D8,D12,D16,D20,D24,D28)</f>
        <v/>
      </c>
      <c r="G71" s="9" t="n"/>
      <c r="I71" s="9">
        <f>SUM(I4,I8,I12,I16,I20,I24,I28)</f>
        <v/>
      </c>
      <c r="L71" s="304" t="n"/>
      <c r="N71" s="9">
        <f>SUM(N4,N8,N12,N16,N20,N24,N28)</f>
        <v/>
      </c>
      <c r="Q71" s="304" t="n"/>
      <c r="S71" s="9">
        <f>SUM(S4,S8,S12,S16,S20,S24,S28)</f>
        <v/>
      </c>
      <c r="V71" s="304" t="n"/>
      <c r="X71" s="9">
        <f>SUM(X4,X8,X12,X16,X20,X24,X28)</f>
        <v/>
      </c>
      <c r="AA71" s="304" t="n"/>
      <c r="AC71" s="9">
        <f>SUM(AC4,AC8,AC12,AC16,AC20,AC24,AC28)</f>
        <v/>
      </c>
      <c r="AF71" s="304" t="n"/>
      <c r="AH71" s="9">
        <f>SUM(AH4,AH8,AH12,AH16,AH20,AH24,AH28)</f>
        <v/>
      </c>
      <c r="AK71" s="304" t="n"/>
      <c r="AM71" s="9">
        <f>SUM(AM4,AM8,AM12,AM16,AM20,AM24,AM28)</f>
        <v/>
      </c>
      <c r="AP71" s="304" t="n"/>
      <c r="AR71" s="9">
        <f>SUM(AR4,AR8,AR12,AR16,AR20,AR24,AR28)</f>
        <v/>
      </c>
      <c r="AU71" s="304" t="n"/>
      <c r="AW71" s="9">
        <f>SUM(AW4,AW8,AW12,AW16,AW20,AW24,AW28)</f>
        <v/>
      </c>
      <c r="BB71" s="9">
        <f>SUM(BB4,BB8,BB12,BB16,BB20,BB24,BB28)</f>
        <v/>
      </c>
      <c r="BG71" s="9">
        <f>SUM(BG4,BG8,BG12,BG16,BG20,BG24,BG28)</f>
        <v/>
      </c>
      <c r="BL71" s="9">
        <f>SUM(BL4,BL8,BL12,BL16,BL20,BL24,BL28)</f>
        <v/>
      </c>
      <c r="BQ71" s="9">
        <f>SUM(BQ4,BQ8,BQ12,BQ16,BQ20,BQ24,BQ28)</f>
        <v/>
      </c>
    </row>
    <row r="72" customFormat="1" s="1">
      <c r="A72" s="124" t="inlineStr">
        <is>
          <t>Paid Search Traffic</t>
        </is>
      </c>
      <c r="B72" s="9" t="n"/>
      <c r="D72" s="9">
        <f>D20</f>
        <v/>
      </c>
      <c r="G72" s="9" t="n"/>
      <c r="I72" s="9">
        <f>I20</f>
        <v/>
      </c>
      <c r="L72" s="9" t="n"/>
      <c r="N72" s="9">
        <f>N20</f>
        <v/>
      </c>
      <c r="Q72" s="9" t="n"/>
      <c r="S72" s="9">
        <f>S20</f>
        <v/>
      </c>
      <c r="V72" s="9" t="n"/>
      <c r="X72" s="9">
        <f>X20</f>
        <v/>
      </c>
      <c r="AA72" s="9" t="n"/>
      <c r="AC72" s="9">
        <f>AC20</f>
        <v/>
      </c>
      <c r="AF72" s="9" t="n"/>
      <c r="AH72" s="9">
        <f>AH20</f>
        <v/>
      </c>
      <c r="AK72" s="9" t="n"/>
      <c r="AM72" s="9">
        <f>AM20</f>
        <v/>
      </c>
      <c r="AP72" s="9" t="n"/>
      <c r="AR72" s="9">
        <f>AR20</f>
        <v/>
      </c>
      <c r="AU72" s="9" t="n"/>
      <c r="AW72" s="9">
        <f>AW20</f>
        <v/>
      </c>
      <c r="BB72" s="9">
        <f>BB20</f>
        <v/>
      </c>
      <c r="BG72" s="9">
        <f>BG20</f>
        <v/>
      </c>
      <c r="BL72" s="9">
        <f>BL20</f>
        <v/>
      </c>
      <c r="BQ72" s="9">
        <f>BQ20</f>
        <v/>
      </c>
    </row>
    <row r="73" customFormat="1" s="1">
      <c r="A73" s="124" t="inlineStr">
        <is>
          <t>Paid Search %</t>
        </is>
      </c>
      <c r="B73" s="20" t="n"/>
      <c r="D73" s="119">
        <f>D72/D71</f>
        <v/>
      </c>
      <c r="E73" s="72" t="n"/>
      <c r="F73" s="72" t="n"/>
      <c r="G73" s="119" t="n"/>
      <c r="H73" s="72" t="n"/>
      <c r="I73" s="119">
        <f>I72/I71</f>
        <v/>
      </c>
      <c r="J73" s="72" t="n"/>
      <c r="K73" s="72" t="n"/>
      <c r="L73" s="119" t="n"/>
      <c r="M73" s="72" t="n"/>
      <c r="N73" s="119">
        <f>N72/N71</f>
        <v/>
      </c>
      <c r="O73" s="72" t="n"/>
      <c r="P73" s="72" t="n"/>
      <c r="Q73" s="119" t="n"/>
      <c r="R73" s="72" t="n"/>
      <c r="S73" s="119">
        <f>S72/S71</f>
        <v/>
      </c>
      <c r="T73" s="72" t="n"/>
      <c r="U73" s="72" t="n"/>
      <c r="V73" s="119" t="n"/>
      <c r="W73" s="72" t="n"/>
      <c r="X73" s="119">
        <f>X72/X71</f>
        <v/>
      </c>
      <c r="Y73" s="72" t="n"/>
      <c r="Z73" s="72" t="n"/>
      <c r="AA73" s="119" t="n"/>
      <c r="AB73" s="72" t="n"/>
      <c r="AC73" s="119">
        <f>AC72/AC71</f>
        <v/>
      </c>
      <c r="AD73" s="72" t="n"/>
      <c r="AE73" s="72" t="n"/>
      <c r="AF73" s="119" t="n"/>
      <c r="AG73" s="72" t="n"/>
      <c r="AH73" s="119">
        <f>AH72/AH71</f>
        <v/>
      </c>
      <c r="AI73" s="72" t="n"/>
      <c r="AJ73" s="72" t="n"/>
      <c r="AK73" s="119" t="n"/>
      <c r="AL73" s="72" t="n"/>
      <c r="AM73" s="119">
        <f>AM72/AM71</f>
        <v/>
      </c>
      <c r="AN73" s="72" t="n"/>
      <c r="AO73" s="72" t="n"/>
      <c r="AP73" s="119" t="n"/>
      <c r="AQ73" s="72" t="n"/>
      <c r="AR73" s="119">
        <f>AR72/AR71</f>
        <v/>
      </c>
      <c r="AS73" s="72" t="n"/>
      <c r="AT73" s="72" t="n"/>
      <c r="AU73" s="119" t="n"/>
      <c r="AV73" s="72" t="n"/>
      <c r="AW73" s="119">
        <f>AW72/AW71</f>
        <v/>
      </c>
      <c r="AX73" s="72" t="n"/>
      <c r="AY73" s="72" t="n"/>
      <c r="AZ73" s="72" t="n"/>
      <c r="BA73" s="72" t="n"/>
      <c r="BB73" s="119">
        <f>BB72/BB71</f>
        <v/>
      </c>
      <c r="BD73" s="72" t="n"/>
      <c r="BE73" s="72" t="n"/>
      <c r="BF73" s="72" t="n"/>
      <c r="BG73" s="119">
        <f>BG72/BG71</f>
        <v/>
      </c>
      <c r="BI73" s="72" t="n"/>
      <c r="BJ73" s="72" t="n"/>
      <c r="BK73" s="72" t="n"/>
      <c r="BL73" s="119">
        <f>BL72/BL71</f>
        <v/>
      </c>
      <c r="BN73" s="72" t="n"/>
      <c r="BO73" s="72" t="n"/>
      <c r="BP73" s="72" t="n"/>
      <c r="BQ73" s="119">
        <f>BQ72/BQ71</f>
        <v/>
      </c>
    </row>
    <row r="74" customFormat="1" s="1"/>
    <row r="75" customFormat="1" s="1">
      <c r="A75" s="121" t="inlineStr">
        <is>
          <t>2025-26</t>
        </is>
      </c>
    </row>
    <row r="76" customFormat="1" s="1">
      <c r="A76" s="122" t="inlineStr">
        <is>
          <t>Total AP Visits</t>
        </is>
      </c>
      <c r="D76" s="9">
        <f>SUM(D34,D38,D42,D46,D50,D54,D58)</f>
        <v/>
      </c>
      <c r="I76" s="9">
        <f>SUM(I34,I38,I42,I46,I50,I54,I58)</f>
        <v/>
      </c>
      <c r="N76" s="9">
        <f>SUM(N34,N38,N42,N46,N50,N54,N58)</f>
        <v/>
      </c>
      <c r="S76" s="9">
        <f>SUM(S34,S38,S42,S46,S50,S54,S58)</f>
        <v/>
      </c>
      <c r="X76" s="9">
        <f>SUM(X34,X38,X42,X46,X50,X54,X58)</f>
        <v/>
      </c>
      <c r="AC76" s="9">
        <f>SUM(AC34,AC38,AC42,AC46,AC50,AC54,AC58)</f>
        <v/>
      </c>
      <c r="AH76" s="9">
        <f>SUM(AH34,AH38,AH42,AH46,AH50,AH54,AH58)</f>
        <v/>
      </c>
      <c r="AM76" s="9">
        <f>SUM(AM34,AM38,AM42,AM46,AM50,AM54,AM58)</f>
        <v/>
      </c>
      <c r="AR76" s="9">
        <f>SUM(AR34,AR38,AR42,AR46,AR50,AR54,AR58)</f>
        <v/>
      </c>
      <c r="AW76" s="9">
        <f>SUM(AW34,AW38,AW42,AW46,AW50,AW54,AW58)</f>
        <v/>
      </c>
      <c r="BB76" s="9">
        <f>SUM(BB34,BB38,BB42,BB46,BB50,BB54,BB58)</f>
        <v/>
      </c>
      <c r="BG76" s="9">
        <f>SUM(BG34,BG38,BG42,BG46,BG50,BG54,BG58)</f>
        <v/>
      </c>
      <c r="BL76" s="9">
        <f>SUM(BL34,BL38,BL42,BL46,BL50,BL54,BL58)</f>
        <v/>
      </c>
      <c r="BQ76" s="9">
        <f>SUM(BQ34,BQ38,BQ42,BQ46,BQ50,BQ54,BQ58)</f>
        <v/>
      </c>
      <c r="BS76" s="9">
        <f>SUM(BL76:BQ76)</f>
        <v/>
      </c>
    </row>
    <row r="77" customFormat="1" s="1">
      <c r="A77" s="122" t="inlineStr">
        <is>
          <t>Paid Search Traffic</t>
        </is>
      </c>
      <c r="D77" s="9">
        <f>D50</f>
        <v/>
      </c>
      <c r="I77" s="9">
        <f>I50</f>
        <v/>
      </c>
      <c r="N77" s="9">
        <f>N50</f>
        <v/>
      </c>
      <c r="S77" s="9">
        <f>S50</f>
        <v/>
      </c>
      <c r="X77" s="9">
        <f>X50</f>
        <v/>
      </c>
      <c r="AC77" s="9">
        <f>AC50</f>
        <v/>
      </c>
      <c r="AH77" s="9">
        <f>AH50</f>
        <v/>
      </c>
      <c r="AM77" s="9">
        <f>AM50</f>
        <v/>
      </c>
      <c r="AR77" s="9">
        <f>AR50</f>
        <v/>
      </c>
      <c r="AW77" s="9">
        <f>AW50</f>
        <v/>
      </c>
      <c r="BB77" s="9">
        <f>BB50</f>
        <v/>
      </c>
      <c r="BG77" s="9">
        <f>BG50</f>
        <v/>
      </c>
      <c r="BL77" s="9">
        <f>BL50</f>
        <v/>
      </c>
      <c r="BQ77" s="9">
        <f>BQ50</f>
        <v/>
      </c>
      <c r="BS77" s="9">
        <f>SUM(BL77:BQ77)</f>
        <v/>
      </c>
      <c r="BT77" s="11">
        <f>BS77/BS76</f>
        <v/>
      </c>
    </row>
    <row r="78" customFormat="1" s="1">
      <c r="A78" s="122" t="inlineStr">
        <is>
          <t>Paid Search %</t>
        </is>
      </c>
      <c r="B78" s="20" t="n"/>
      <c r="D78" s="119">
        <f>D77/D76</f>
        <v/>
      </c>
      <c r="E78" s="72" t="n"/>
      <c r="F78" s="72" t="n"/>
      <c r="G78" s="119" t="n"/>
      <c r="H78" s="72" t="n"/>
      <c r="I78" s="119">
        <f>I77/I76</f>
        <v/>
      </c>
      <c r="J78" s="72" t="n"/>
      <c r="K78" s="72" t="n"/>
      <c r="L78" s="119" t="n"/>
      <c r="M78" s="72" t="n"/>
      <c r="N78" s="119">
        <f>N77/N76</f>
        <v/>
      </c>
      <c r="O78" s="72" t="n"/>
      <c r="P78" s="72" t="n"/>
      <c r="Q78" s="119" t="n"/>
      <c r="R78" s="72" t="n"/>
      <c r="S78" s="119">
        <f>S77/S76</f>
        <v/>
      </c>
      <c r="T78" s="72" t="n"/>
      <c r="U78" s="72" t="n"/>
      <c r="V78" s="119" t="n"/>
      <c r="W78" s="72" t="n"/>
      <c r="X78" s="119">
        <f>X77/X76</f>
        <v/>
      </c>
      <c r="Y78" s="72" t="n"/>
      <c r="Z78" s="72" t="n"/>
      <c r="AA78" s="119" t="n"/>
      <c r="AB78" s="72" t="n"/>
      <c r="AC78" s="119">
        <f>AC77/AC76</f>
        <v/>
      </c>
      <c r="AD78" s="72" t="n"/>
      <c r="AE78" s="72" t="n"/>
      <c r="AF78" s="119" t="n"/>
      <c r="AG78" s="72" t="n"/>
      <c r="AH78" s="119">
        <f>AH77/AH76</f>
        <v/>
      </c>
      <c r="AI78" s="72" t="n"/>
      <c r="AJ78" s="72" t="n"/>
      <c r="AK78" s="119" t="n"/>
      <c r="AL78" s="72" t="n"/>
      <c r="AM78" s="119">
        <f>AM77/AM76</f>
        <v/>
      </c>
      <c r="AN78" s="72" t="n"/>
      <c r="AO78" s="72" t="n"/>
      <c r="AP78" s="119" t="n"/>
      <c r="AQ78" s="72" t="n"/>
      <c r="AR78" s="119">
        <f>AR77/AR76</f>
        <v/>
      </c>
      <c r="AS78" s="72" t="n"/>
      <c r="AT78" s="72" t="n"/>
      <c r="AU78" s="119" t="n"/>
      <c r="AV78" s="72" t="n"/>
      <c r="AW78" s="119">
        <f>AW77/AW76</f>
        <v/>
      </c>
      <c r="AX78" s="72" t="n"/>
      <c r="AY78" s="72" t="n"/>
      <c r="AZ78" s="72" t="n"/>
      <c r="BA78" s="72" t="n"/>
      <c r="BB78" s="119">
        <f>BB77/BB76</f>
        <v/>
      </c>
      <c r="BD78" s="72" t="n"/>
      <c r="BE78" s="72" t="n"/>
      <c r="BF78" s="72" t="n"/>
      <c r="BG78" s="119">
        <f>BG77/BG76</f>
        <v/>
      </c>
      <c r="BI78" s="72" t="n"/>
      <c r="BJ78" s="72" t="n"/>
      <c r="BK78" s="72" t="n"/>
      <c r="BL78" s="119">
        <f>BL77/BL76</f>
        <v/>
      </c>
      <c r="BN78" s="72" t="n"/>
      <c r="BO78" s="72" t="n"/>
      <c r="BP78" s="72" t="n"/>
      <c r="BQ78" s="119">
        <f>BQ77/BQ76</f>
        <v/>
      </c>
    </row>
    <row r="79" customFormat="1" s="1">
      <c r="A79" s="123" t="n"/>
    </row>
    <row r="80" customFormat="1" s="1">
      <c r="A80" s="124" t="inlineStr">
        <is>
          <t>Total Opus Visits</t>
        </is>
      </c>
      <c r="D80" s="9">
        <f>SUM(D35,D39,D43,D47,D51,D55,D59)</f>
        <v/>
      </c>
      <c r="I80" s="9">
        <f>SUM(I35,I39,I43,I47,I51,I55,I59)</f>
        <v/>
      </c>
      <c r="N80" s="9">
        <f>SUM(N35,N39,N43,N47,N51,N55,N59)</f>
        <v/>
      </c>
      <c r="S80" s="9">
        <f>SUM(S35,S39,S43,S47,S51,S55,S59)</f>
        <v/>
      </c>
      <c r="X80" s="9">
        <f>SUM(X35,X39,X43,X47,X51,X55,X59)</f>
        <v/>
      </c>
      <c r="AC80" s="9">
        <f>SUM(AC35,AC39,AC43,AC47,AC51,AC55,AC59)</f>
        <v/>
      </c>
      <c r="AH80" s="9">
        <f>SUM(AH35,AH39,AH43,AH47,AH51,AH55,AH59)</f>
        <v/>
      </c>
      <c r="AM80" s="9">
        <f>SUM(AM35,AM39,AM43,AM47,AM51,AM55,AM59)</f>
        <v/>
      </c>
      <c r="AR80" s="9">
        <f>SUM(AR35,AR39,AR43,AR47,AR51,AR55,AR59)</f>
        <v/>
      </c>
      <c r="AW80" s="9">
        <f>SUM(AW35,AW39,AW43,AW47,AW51,AW55,AW59)</f>
        <v/>
      </c>
      <c r="BB80" s="9">
        <f>SUM(BB35,BB39,BB43,BB47,BB51,BB55,BB59)</f>
        <v/>
      </c>
      <c r="BG80" s="9">
        <f>SUM(BG35,BG39,BG43,BG47,BG51,BG55,BG59)</f>
        <v/>
      </c>
      <c r="BL80" s="9">
        <f>SUM(BL35,BL39,BL43,BL47,BL51,BL55,BL59)</f>
        <v/>
      </c>
      <c r="BQ80" s="9">
        <f>SUM(BQ35,BQ39,BQ43,BQ47,BQ51,BQ55,BQ59)</f>
        <v/>
      </c>
      <c r="BS80" s="9">
        <f>SUM(BL80:BQ80)</f>
        <v/>
      </c>
    </row>
    <row r="81" customFormat="1" s="1">
      <c r="A81" s="124" t="inlineStr">
        <is>
          <t>Paid Search Traffic</t>
        </is>
      </c>
      <c r="D81" s="9">
        <f>D51</f>
        <v/>
      </c>
      <c r="I81" s="9">
        <f>I51</f>
        <v/>
      </c>
      <c r="N81" s="9">
        <f>N51</f>
        <v/>
      </c>
      <c r="S81" s="9">
        <f>S51</f>
        <v/>
      </c>
      <c r="X81" s="9">
        <f>X51</f>
        <v/>
      </c>
      <c r="AC81" s="9">
        <f>AC51</f>
        <v/>
      </c>
      <c r="AH81" s="9">
        <f>AH51</f>
        <v/>
      </c>
      <c r="AM81" s="9">
        <f>AM51</f>
        <v/>
      </c>
      <c r="AR81" s="9">
        <f>AR51</f>
        <v/>
      </c>
      <c r="AW81" s="9">
        <f>AW51</f>
        <v/>
      </c>
      <c r="BB81" s="9">
        <f>BB51</f>
        <v/>
      </c>
      <c r="BG81" s="9">
        <f>BG51</f>
        <v/>
      </c>
      <c r="BL81" s="9">
        <f>BL51</f>
        <v/>
      </c>
      <c r="BQ81" s="9">
        <f>BQ51</f>
        <v/>
      </c>
      <c r="BS81" s="9">
        <f>SUM(BL81:BQ81)</f>
        <v/>
      </c>
      <c r="BT81" s="11">
        <f>BS81/BS80</f>
        <v/>
      </c>
    </row>
    <row r="82" customFormat="1" s="1">
      <c r="A82" s="124" t="inlineStr">
        <is>
          <t>Paid Search %</t>
        </is>
      </c>
      <c r="B82" s="20" t="n"/>
      <c r="D82" s="119">
        <f>D81/D80</f>
        <v/>
      </c>
      <c r="E82" s="72" t="n"/>
      <c r="F82" s="72" t="n"/>
      <c r="G82" s="119" t="n"/>
      <c r="H82" s="72" t="n"/>
      <c r="I82" s="119">
        <f>I81/I80</f>
        <v/>
      </c>
      <c r="J82" s="72" t="n"/>
      <c r="K82" s="72" t="n"/>
      <c r="L82" s="119" t="n"/>
      <c r="M82" s="72" t="n"/>
      <c r="N82" s="119">
        <f>N81/N80</f>
        <v/>
      </c>
      <c r="O82" s="72" t="n"/>
      <c r="P82" s="72" t="n"/>
      <c r="Q82" s="119" t="n"/>
      <c r="R82" s="72" t="n"/>
      <c r="S82" s="119">
        <f>S81/S80</f>
        <v/>
      </c>
      <c r="T82" s="72" t="n"/>
      <c r="U82" s="72" t="n"/>
      <c r="V82" s="119" t="n"/>
      <c r="W82" s="72" t="n"/>
      <c r="X82" s="119">
        <f>X81/X80</f>
        <v/>
      </c>
      <c r="Y82" s="72" t="n"/>
      <c r="Z82" s="72" t="n"/>
      <c r="AA82" s="119" t="n"/>
      <c r="AB82" s="72" t="n"/>
      <c r="AC82" s="119">
        <f>AC81/AC80</f>
        <v/>
      </c>
      <c r="AD82" s="72" t="n"/>
      <c r="AE82" s="72" t="n"/>
      <c r="AF82" s="119" t="n"/>
      <c r="AG82" s="72" t="n"/>
      <c r="AH82" s="119">
        <f>AH81/AH80</f>
        <v/>
      </c>
      <c r="AI82" s="72" t="n"/>
      <c r="AJ82" s="72" t="n"/>
      <c r="AK82" s="119" t="n"/>
      <c r="AL82" s="72" t="n"/>
      <c r="AM82" s="119">
        <f>AM81/AM80</f>
        <v/>
      </c>
      <c r="AN82" s="72" t="n"/>
      <c r="AO82" s="72" t="n"/>
      <c r="AP82" s="119" t="n"/>
      <c r="AQ82" s="72" t="n"/>
      <c r="AR82" s="119">
        <f>AR81/AR80</f>
        <v/>
      </c>
      <c r="AS82" s="72" t="n"/>
      <c r="AT82" s="72" t="n"/>
      <c r="AU82" s="119" t="n"/>
      <c r="AV82" s="72" t="n"/>
      <c r="AW82" s="119">
        <f>AW81/AW80</f>
        <v/>
      </c>
      <c r="AX82" s="72" t="n"/>
      <c r="AY82" s="72" t="n"/>
      <c r="AZ82" s="72" t="n"/>
      <c r="BA82" s="72" t="n"/>
      <c r="BB82" s="119">
        <f>BB81/BB80</f>
        <v/>
      </c>
      <c r="BD82" s="72" t="n"/>
      <c r="BE82" s="72" t="n"/>
      <c r="BF82" s="72" t="n"/>
      <c r="BG82" s="119">
        <f>BG81/BG80</f>
        <v/>
      </c>
      <c r="BI82" s="72" t="n"/>
      <c r="BJ82" s="72" t="n"/>
      <c r="BK82" s="72" t="n"/>
      <c r="BL82" s="119">
        <f>BL81/BL80</f>
        <v/>
      </c>
      <c r="BN82" s="72" t="n"/>
      <c r="BO82" s="72" t="n"/>
      <c r="BP82" s="72" t="n"/>
      <c r="BQ82" s="119">
        <f>BQ81/BQ80</f>
        <v/>
      </c>
    </row>
  </sheetData>
  <mergeCells count="28">
    <mergeCell ref="BN1:BQ1"/>
    <mergeCell ref="AY1:BB1"/>
    <mergeCell ref="BI32:BL32"/>
    <mergeCell ref="AJ1:AM1"/>
    <mergeCell ref="Z1:AC1"/>
    <mergeCell ref="BI1:BL1"/>
    <mergeCell ref="AT1:AW1"/>
    <mergeCell ref="AJ32:AM32"/>
    <mergeCell ref="U1:X1"/>
    <mergeCell ref="BD32:BG32"/>
    <mergeCell ref="F1:I1"/>
    <mergeCell ref="AE32:AH32"/>
    <mergeCell ref="P1:S1"/>
    <mergeCell ref="BN32:BQ32"/>
    <mergeCell ref="AO32:AR32"/>
    <mergeCell ref="A1:D1"/>
    <mergeCell ref="Z32:AC32"/>
    <mergeCell ref="AY32:BB32"/>
    <mergeCell ref="K32:N32"/>
    <mergeCell ref="K1:N1"/>
    <mergeCell ref="U32:X32"/>
    <mergeCell ref="F32:I32"/>
    <mergeCell ref="AT32:AW32"/>
    <mergeCell ref="P32:S32"/>
    <mergeCell ref="BD1:BG1"/>
    <mergeCell ref="A32:D32"/>
    <mergeCell ref="AO1:AR1"/>
    <mergeCell ref="AE1:AH1"/>
  </mergeCells>
  <pageMargins left="0.7" right="0.7" top="0.75" bottom="0.75" header="0.3" footer="0.3"/>
  <tableParts count="1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selection activeCell="A1" sqref="A1"/>
    </sheetView>
  </sheetViews>
  <sheetFormatPr baseColWidth="8" defaultColWidth="9.140625" defaultRowHeight="11.25"/>
  <cols>
    <col width="2" customWidth="1" style="203" min="1" max="1"/>
    <col width="7.28515625" customWidth="1" style="203" min="2" max="2"/>
    <col width="10.5703125" bestFit="1" customWidth="1" style="203" min="3" max="3"/>
    <col width="11.85546875" bestFit="1" customWidth="1" style="203" min="4" max="4"/>
    <col width="8.5703125" bestFit="1" customWidth="1" style="203" min="5" max="5"/>
    <col width="6.85546875" bestFit="1" customWidth="1" style="203" min="6" max="6"/>
    <col width="7.28515625" bestFit="1" customWidth="1" style="203" min="7" max="7"/>
    <col width="7.42578125" bestFit="1" customWidth="1" style="203" min="8" max="8"/>
    <col width="2.42578125" customWidth="1" style="203" min="9" max="9"/>
    <col width="6.140625" bestFit="1" customWidth="1" style="203" min="10" max="10"/>
    <col width="10.7109375" customWidth="1" style="203" min="11" max="11"/>
    <col width="11.85546875" bestFit="1" customWidth="1" style="203" min="12" max="12"/>
    <col width="8.5703125" bestFit="1" customWidth="1" style="203" min="13" max="13"/>
    <col width="6.85546875" bestFit="1" customWidth="1" style="203" min="14" max="14"/>
    <col width="7.28515625" bestFit="1" customWidth="1" style="203" min="15" max="15"/>
    <col width="5.85546875" bestFit="1" customWidth="1" style="203" min="16" max="16"/>
    <col width="9.140625" customWidth="1" style="203" min="17" max="16384"/>
  </cols>
  <sheetData>
    <row r="1"/>
    <row r="2">
      <c r="B2" s="202" t="inlineStr">
        <is>
          <t>BHPS</t>
        </is>
      </c>
      <c r="C2" s="246" t="n"/>
      <c r="D2" s="246" t="n"/>
      <c r="E2" s="246" t="n"/>
      <c r="F2" s="246" t="n"/>
      <c r="G2" s="246" t="n"/>
      <c r="H2" s="247" t="n"/>
      <c r="J2" s="204" t="inlineStr">
        <is>
          <t>SMC Campaign performance</t>
        </is>
      </c>
      <c r="K2" s="246" t="n"/>
      <c r="L2" s="246" t="n"/>
      <c r="M2" s="246" t="n"/>
      <c r="N2" s="246" t="n"/>
      <c r="O2" s="246" t="n"/>
      <c r="P2" s="247" t="n"/>
    </row>
    <row r="3">
      <c r="B3" s="305" t="inlineStr">
        <is>
          <t>2025-26 FY</t>
        </is>
      </c>
      <c r="C3" s="246" t="n"/>
      <c r="D3" s="246" t="n"/>
      <c r="E3" s="246" t="n"/>
      <c r="F3" s="246" t="n"/>
      <c r="G3" s="246" t="n"/>
      <c r="H3" s="247" t="n"/>
      <c r="J3" s="305" t="inlineStr">
        <is>
          <t>2025-26 FY</t>
        </is>
      </c>
      <c r="K3" s="246" t="n"/>
      <c r="L3" s="246" t="n"/>
      <c r="M3" s="246" t="n"/>
      <c r="N3" s="246" t="n"/>
      <c r="O3" s="246" t="n"/>
      <c r="P3" s="247" t="n"/>
    </row>
    <row r="4">
      <c r="B4" s="206" t="inlineStr">
        <is>
          <t>Month</t>
        </is>
      </c>
      <c r="C4" s="206" t="inlineStr">
        <is>
          <t>Spent</t>
        </is>
      </c>
      <c r="D4" s="206" t="inlineStr">
        <is>
          <t>CRM Raw Leads</t>
        </is>
      </c>
      <c r="E4" s="206" t="inlineStr">
        <is>
          <t>CRM Leads</t>
        </is>
      </c>
      <c r="F4" s="206" t="inlineStr">
        <is>
          <t>Raw CPL</t>
        </is>
      </c>
      <c r="G4" s="206" t="inlineStr">
        <is>
          <t>CRM CPL</t>
        </is>
      </c>
      <c r="H4" s="206" t="inlineStr">
        <is>
          <t>Quality %</t>
        </is>
      </c>
      <c r="J4" s="207" t="inlineStr">
        <is>
          <t>Month</t>
        </is>
      </c>
      <c r="K4" s="208" t="inlineStr">
        <is>
          <t>Spent</t>
        </is>
      </c>
      <c r="L4" s="208" t="inlineStr">
        <is>
          <t>CRM Raw Leads</t>
        </is>
      </c>
      <c r="M4" s="208" t="inlineStr">
        <is>
          <t>CRM Leads</t>
        </is>
      </c>
      <c r="N4" s="208" t="inlineStr">
        <is>
          <t>Raw CPL</t>
        </is>
      </c>
      <c r="O4" s="208" t="inlineStr">
        <is>
          <t>CRM CPL</t>
        </is>
      </c>
      <c r="P4" s="208" t="inlineStr">
        <is>
          <t>Quality</t>
        </is>
      </c>
    </row>
    <row r="5">
      <c r="B5" s="306" t="n">
        <v>45748</v>
      </c>
      <c r="C5" s="307" t="n">
        <v>29971839.99</v>
      </c>
      <c r="D5" s="307" t="n">
        <v>50816</v>
      </c>
      <c r="E5" s="307" t="n">
        <v>11156</v>
      </c>
      <c r="F5" s="307">
        <f>C5/D5</f>
        <v/>
      </c>
      <c r="G5" s="307">
        <f>C5/E5</f>
        <v/>
      </c>
      <c r="H5" s="211">
        <f>E5/D5</f>
        <v/>
      </c>
      <c r="J5" s="212" t="n">
        <v>45748</v>
      </c>
      <c r="K5" s="308" t="n">
        <v>3568476.83</v>
      </c>
      <c r="L5" s="308" t="n">
        <v>12459</v>
      </c>
      <c r="M5" s="308" t="n">
        <v>3533</v>
      </c>
      <c r="N5" s="308">
        <f>K5/L5</f>
        <v/>
      </c>
      <c r="O5" s="308">
        <f>K5/M5</f>
        <v/>
      </c>
      <c r="P5" s="214">
        <f>M5/L5</f>
        <v/>
      </c>
    </row>
    <row r="6">
      <c r="B6" s="306" t="n">
        <v>45778</v>
      </c>
      <c r="C6" s="307" t="n">
        <v>33384703.87</v>
      </c>
      <c r="D6" s="307" t="n">
        <v>56898</v>
      </c>
      <c r="E6" s="307" t="n">
        <v>12086</v>
      </c>
      <c r="F6" s="307">
        <f>C6/D6</f>
        <v/>
      </c>
      <c r="G6" s="307">
        <f>C6/E6</f>
        <v/>
      </c>
      <c r="H6" s="211">
        <f>E6/D6</f>
        <v/>
      </c>
      <c r="J6" s="212" t="n">
        <v>45778</v>
      </c>
      <c r="K6" s="308" t="n">
        <v>3732514.37</v>
      </c>
      <c r="L6" s="308" t="n">
        <v>17295</v>
      </c>
      <c r="M6" s="308" t="n">
        <v>4339</v>
      </c>
      <c r="N6" s="308">
        <f>K6/L6</f>
        <v/>
      </c>
      <c r="O6" s="308">
        <f>K6/M6</f>
        <v/>
      </c>
      <c r="P6" s="214">
        <f>M6/L6</f>
        <v/>
      </c>
    </row>
    <row r="7">
      <c r="B7" s="306" t="n">
        <v>45809</v>
      </c>
      <c r="C7" s="307" t="n">
        <v>34967460.7</v>
      </c>
      <c r="D7" s="307" t="n">
        <v>73737</v>
      </c>
      <c r="E7" s="307" t="n">
        <v>14625</v>
      </c>
      <c r="F7" s="307">
        <f>C7/D7</f>
        <v/>
      </c>
      <c r="G7" s="307">
        <f>C7/E7</f>
        <v/>
      </c>
      <c r="H7" s="211">
        <f>E7/D7</f>
        <v/>
      </c>
      <c r="J7" s="212" t="n">
        <v>45809</v>
      </c>
      <c r="K7" s="308" t="n">
        <v>3230710.06</v>
      </c>
      <c r="L7" s="308" t="n">
        <v>14300</v>
      </c>
      <c r="M7" s="308" t="n">
        <v>3263</v>
      </c>
      <c r="N7" s="308">
        <f>K7/L7</f>
        <v/>
      </c>
      <c r="O7" s="308">
        <f>K7/M7</f>
        <v/>
      </c>
      <c r="P7" s="214">
        <f>M7/L7</f>
        <v/>
      </c>
    </row>
    <row r="8">
      <c r="B8" s="306" t="n">
        <v>45839</v>
      </c>
      <c r="C8" s="307" t="n">
        <v>34390037.86</v>
      </c>
      <c r="D8" s="307" t="n">
        <v>90097</v>
      </c>
      <c r="E8" s="307" t="n">
        <v>17388</v>
      </c>
      <c r="F8" s="307">
        <f>C8/D8</f>
        <v/>
      </c>
      <c r="G8" s="307">
        <f>C8/E8</f>
        <v/>
      </c>
      <c r="H8" s="211">
        <f>E8/D8</f>
        <v/>
      </c>
      <c r="J8" s="212" t="n">
        <v>45839</v>
      </c>
      <c r="K8" s="308" t="n">
        <v>3898861.9</v>
      </c>
      <c r="L8" s="308" t="n">
        <v>14988</v>
      </c>
      <c r="M8" s="308" t="n">
        <v>3232</v>
      </c>
      <c r="N8" s="308">
        <f>K8/L8</f>
        <v/>
      </c>
      <c r="O8" s="308">
        <f>K8/M8</f>
        <v/>
      </c>
      <c r="P8" s="214">
        <f>M8/L8</f>
        <v/>
      </c>
    </row>
    <row r="9">
      <c r="B9" s="306" t="n">
        <v>45870</v>
      </c>
      <c r="C9" s="307" t="n">
        <v>37960073.28</v>
      </c>
      <c r="D9" s="307" t="n">
        <v>81115</v>
      </c>
      <c r="E9" s="307" t="n">
        <v>17536</v>
      </c>
      <c r="F9" s="307">
        <f>C9/D9</f>
        <v/>
      </c>
      <c r="G9" s="307">
        <f>C9/E9</f>
        <v/>
      </c>
      <c r="H9" s="211">
        <f>E9/D9</f>
        <v/>
      </c>
      <c r="J9" s="212" t="n">
        <v>45870</v>
      </c>
      <c r="K9" s="308" t="n">
        <v>4596244.76</v>
      </c>
      <c r="L9" s="308" t="n">
        <v>13425</v>
      </c>
      <c r="M9" s="308" t="n">
        <v>3602</v>
      </c>
      <c r="N9" s="308">
        <f>K9/L9</f>
        <v/>
      </c>
      <c r="O9" s="308">
        <f>K9/M9</f>
        <v/>
      </c>
      <c r="P9" s="214">
        <f>M9/L9</f>
        <v/>
      </c>
    </row>
    <row r="10">
      <c r="B10" s="306" t="n">
        <v>45901</v>
      </c>
      <c r="C10" s="307" t="n">
        <v>32287802.88</v>
      </c>
      <c r="D10" s="307" t="n">
        <v>99880</v>
      </c>
      <c r="E10" s="307" t="n">
        <v>18529</v>
      </c>
      <c r="F10" s="307">
        <f>C10/D10</f>
        <v/>
      </c>
      <c r="G10" s="307">
        <f>C10/E10</f>
        <v/>
      </c>
      <c r="H10" s="211">
        <f>E10/D10</f>
        <v/>
      </c>
      <c r="J10" s="212" t="n">
        <v>45901</v>
      </c>
      <c r="K10" s="308" t="n">
        <v>4581895.21</v>
      </c>
      <c r="L10" s="308" t="n">
        <v>15900</v>
      </c>
      <c r="M10" s="308" t="n">
        <v>3803</v>
      </c>
      <c r="N10" s="308">
        <f>K10/L10</f>
        <v/>
      </c>
      <c r="O10" s="308">
        <f>K10/M10</f>
        <v/>
      </c>
      <c r="P10" s="214">
        <f>M10/L10</f>
        <v/>
      </c>
    </row>
    <row r="11">
      <c r="B11" s="306" t="n">
        <v>45931</v>
      </c>
      <c r="C11" s="307" t="n">
        <v>40768820.54</v>
      </c>
      <c r="D11" s="307" t="n">
        <v>95903</v>
      </c>
      <c r="E11" s="307" t="n">
        <v>16387</v>
      </c>
      <c r="F11" s="307">
        <f>C11/D11</f>
        <v/>
      </c>
      <c r="G11" s="307">
        <f>C11/E11</f>
        <v/>
      </c>
      <c r="H11" s="211">
        <f>E11/D11</f>
        <v/>
      </c>
      <c r="J11" s="212" t="n">
        <v>45931</v>
      </c>
      <c r="K11" s="308" t="n">
        <v>3602000.39</v>
      </c>
      <c r="L11" s="308" t="n">
        <v>11059</v>
      </c>
      <c r="M11" s="308" t="n">
        <v>2794</v>
      </c>
      <c r="N11" s="308">
        <f>K11/L11</f>
        <v/>
      </c>
      <c r="O11" s="308">
        <f>K11/M11</f>
        <v/>
      </c>
      <c r="P11" s="214">
        <f>M11/L11</f>
        <v/>
      </c>
    </row>
    <row r="12">
      <c r="B12" s="306" t="n">
        <v>45962</v>
      </c>
      <c r="C12" s="307" t="n">
        <v>38627624.77</v>
      </c>
      <c r="D12" s="307" t="n">
        <v>74887</v>
      </c>
      <c r="E12" s="307" t="n">
        <v>13228</v>
      </c>
      <c r="F12" s="307">
        <f>C12/D12</f>
        <v/>
      </c>
      <c r="G12" s="307">
        <f>C12/E12</f>
        <v/>
      </c>
      <c r="H12" s="211">
        <f>E12/D12</f>
        <v/>
      </c>
      <c r="J12" s="212" t="n">
        <v>45962</v>
      </c>
      <c r="K12" s="308" t="n">
        <v>3076112.3</v>
      </c>
      <c r="L12" s="308" t="n">
        <v>6684</v>
      </c>
      <c r="M12" s="308" t="n">
        <v>2980</v>
      </c>
      <c r="N12" s="308">
        <f>K12/L12</f>
        <v/>
      </c>
      <c r="O12" s="308">
        <f>K12/M12</f>
        <v/>
      </c>
      <c r="P12" s="214">
        <f>M12/L12</f>
        <v/>
      </c>
    </row>
    <row r="13">
      <c r="B13" s="306" t="n">
        <v>45992</v>
      </c>
      <c r="C13" s="307" t="n">
        <v>42296339.08</v>
      </c>
      <c r="D13" s="307" t="n">
        <v>63546</v>
      </c>
      <c r="E13" s="307" t="n">
        <v>14013</v>
      </c>
      <c r="F13" s="307">
        <f>C13/D13</f>
        <v/>
      </c>
      <c r="G13" s="307">
        <f>C13/E13</f>
        <v/>
      </c>
      <c r="H13" s="211">
        <f>E13/D13</f>
        <v/>
      </c>
      <c r="J13" s="212" t="n">
        <v>45992</v>
      </c>
      <c r="K13" s="308" t="n">
        <v>3574692.33</v>
      </c>
      <c r="L13" s="308" t="n">
        <v>7650</v>
      </c>
      <c r="M13" s="308" t="n">
        <v>2193</v>
      </c>
      <c r="N13" s="308">
        <f>K13/L13</f>
        <v/>
      </c>
      <c r="O13" s="308">
        <f>K13/M13</f>
        <v/>
      </c>
      <c r="P13" s="214">
        <f>M13/L13</f>
        <v/>
      </c>
    </row>
    <row r="14">
      <c r="B14" s="306" t="n">
        <v>46023</v>
      </c>
      <c r="C14" s="307" t="n">
        <v>40160068.38</v>
      </c>
      <c r="D14" s="307" t="n">
        <v>68816</v>
      </c>
      <c r="E14" s="307" t="n">
        <v>13843</v>
      </c>
      <c r="F14" s="307">
        <f>C14/D14</f>
        <v/>
      </c>
      <c r="G14" s="307">
        <f>C14/E14</f>
        <v/>
      </c>
      <c r="H14" s="211">
        <f>E14/D14</f>
        <v/>
      </c>
      <c r="J14" s="212" t="n">
        <v>46023</v>
      </c>
      <c r="K14" s="308" t="n">
        <v>3148070.11</v>
      </c>
      <c r="L14" s="308" t="n">
        <v>6627</v>
      </c>
      <c r="M14" s="308" t="n">
        <v>2388</v>
      </c>
      <c r="N14" s="308">
        <f>K14/L14</f>
        <v/>
      </c>
      <c r="O14" s="308">
        <f>K14/M14</f>
        <v/>
      </c>
      <c r="P14" s="214">
        <f>M14/L14</f>
        <v/>
      </c>
    </row>
    <row r="15">
      <c r="B15" s="306" t="n">
        <v>46054</v>
      </c>
      <c r="C15" s="307" t="n">
        <v>22867966.11</v>
      </c>
      <c r="D15" s="307" t="n">
        <v>55846</v>
      </c>
      <c r="E15" s="307" t="n">
        <v>11918</v>
      </c>
      <c r="F15" s="307">
        <f>C15/D15</f>
        <v/>
      </c>
      <c r="G15" s="307">
        <f>C15/E15</f>
        <v/>
      </c>
      <c r="H15" s="211">
        <f>E15/D15</f>
        <v/>
      </c>
      <c r="J15" s="212" t="n">
        <v>46054</v>
      </c>
      <c r="K15" s="308" t="n">
        <v>3532164.49</v>
      </c>
      <c r="L15" s="308" t="n">
        <v>9896</v>
      </c>
      <c r="M15" s="308" t="n">
        <v>2895</v>
      </c>
      <c r="N15" s="308">
        <f>K15/L15</f>
        <v/>
      </c>
      <c r="O15" s="308">
        <f>K15/M15</f>
        <v/>
      </c>
      <c r="P15" s="214">
        <f>M15/L15</f>
        <v/>
      </c>
    </row>
    <row r="16">
      <c r="B16" s="306" t="n">
        <v>46082</v>
      </c>
      <c r="C16" s="307" t="n">
        <v>36590099.99</v>
      </c>
      <c r="D16" s="307" t="n">
        <v>63358</v>
      </c>
      <c r="E16" s="307" t="n">
        <v>17396</v>
      </c>
      <c r="F16" s="307">
        <f>C16/D16</f>
        <v/>
      </c>
      <c r="G16" s="307">
        <f>C16/E16</f>
        <v/>
      </c>
      <c r="H16" s="211">
        <f>E16/D16</f>
        <v/>
      </c>
      <c r="J16" s="212" t="n">
        <v>46082</v>
      </c>
      <c r="K16" s="308" t="n">
        <v>3098329.11</v>
      </c>
      <c r="L16" s="308" t="n">
        <v>12154</v>
      </c>
      <c r="M16" s="308" t="n">
        <v>2882</v>
      </c>
      <c r="N16" s="308">
        <f>K16/L16</f>
        <v/>
      </c>
      <c r="O16" s="308">
        <f>K16/M16</f>
        <v/>
      </c>
      <c r="P16" s="214">
        <f>M16/L16</f>
        <v/>
      </c>
    </row>
    <row r="17">
      <c r="B17" s="309" t="inlineStr">
        <is>
          <t>Total</t>
        </is>
      </c>
      <c r="C17" s="310">
        <f>SUM(C5:C16)</f>
        <v/>
      </c>
      <c r="D17" s="310">
        <f>SUM(D5:D16)</f>
        <v/>
      </c>
      <c r="E17" s="310">
        <f>SUM(E5:E16)</f>
        <v/>
      </c>
      <c r="F17" s="310">
        <f>C17/D17</f>
        <v/>
      </c>
      <c r="G17" s="310">
        <f>C17/E17</f>
        <v/>
      </c>
      <c r="H17" s="217">
        <f>E17/D17</f>
        <v/>
      </c>
      <c r="J17" s="218" t="inlineStr">
        <is>
          <t>Total</t>
        </is>
      </c>
      <c r="K17" s="311">
        <f>SUM(K5:K16)</f>
        <v/>
      </c>
      <c r="L17" s="311">
        <f>SUM(L5:L16)</f>
        <v/>
      </c>
      <c r="M17" s="311">
        <f>SUM(M5:M16)</f>
        <v/>
      </c>
      <c r="N17" s="311">
        <f>K17/L17</f>
        <v/>
      </c>
      <c r="O17" s="311">
        <f>K17/M17</f>
        <v/>
      </c>
      <c r="P17" s="220">
        <f>M17/L17</f>
        <v/>
      </c>
    </row>
    <row r="18">
      <c r="B18" s="312" t="n"/>
      <c r="C18" s="313" t="n"/>
      <c r="D18" s="313" t="n"/>
      <c r="E18" s="313" t="n"/>
      <c r="F18" s="313" t="n"/>
      <c r="G18" s="313" t="n"/>
      <c r="H18" s="223" t="n"/>
      <c r="J18" s="224" t="n"/>
      <c r="K18" s="314" t="n"/>
      <c r="L18" s="314" t="n"/>
      <c r="M18" s="314" t="n"/>
      <c r="N18" s="314" t="n"/>
      <c r="O18" s="314" t="n"/>
      <c r="P18" s="226" t="n"/>
    </row>
    <row r="19">
      <c r="B19" s="305" t="inlineStr">
        <is>
          <t>2026-27 FY</t>
        </is>
      </c>
      <c r="C19" s="246" t="n"/>
      <c r="D19" s="246" t="n"/>
      <c r="E19" s="246" t="n"/>
      <c r="F19" s="246" t="n"/>
      <c r="G19" s="246" t="n"/>
      <c r="H19" s="247" t="n"/>
      <c r="J19" s="305" t="inlineStr">
        <is>
          <t>2026-27 FY</t>
        </is>
      </c>
      <c r="K19" s="246" t="n"/>
      <c r="L19" s="246" t="n"/>
      <c r="M19" s="246" t="n"/>
      <c r="N19" s="246" t="n"/>
      <c r="O19" s="246" t="n"/>
      <c r="P19" s="247" t="n"/>
    </row>
    <row r="20">
      <c r="B20" s="306" t="n">
        <v>46114</v>
      </c>
      <c r="C20" s="307" t="n">
        <v>31962951.1</v>
      </c>
      <c r="D20" s="307" t="n">
        <v>55657</v>
      </c>
      <c r="E20" s="307" t="n">
        <v>18988</v>
      </c>
      <c r="F20" s="307">
        <f>C20/D20</f>
        <v/>
      </c>
      <c r="G20" s="307">
        <f>C20/E20</f>
        <v/>
      </c>
      <c r="H20" s="211">
        <f>E20/D20</f>
        <v/>
      </c>
      <c r="J20" s="212" t="n">
        <v>46113</v>
      </c>
      <c r="K20" s="308" t="n">
        <v>3481404.98</v>
      </c>
      <c r="L20" s="308" t="n">
        <v>12423</v>
      </c>
      <c r="M20" s="308" t="n">
        <v>3426</v>
      </c>
      <c r="N20" s="308">
        <f>K20/L20</f>
        <v/>
      </c>
      <c r="O20" s="308">
        <f>K20/M20</f>
        <v/>
      </c>
      <c r="P20" s="214">
        <f>M20/L20</f>
        <v/>
      </c>
    </row>
    <row r="21">
      <c r="B21" s="306" t="n">
        <v>46145</v>
      </c>
      <c r="C21" s="307" t="n">
        <v>36170466.57</v>
      </c>
      <c r="D21" s="307" t="n">
        <v>56398</v>
      </c>
      <c r="E21" s="307" t="n">
        <v>17389</v>
      </c>
      <c r="F21" s="307">
        <f>C21/D21</f>
        <v/>
      </c>
      <c r="G21" s="307">
        <f>C21/E21</f>
        <v/>
      </c>
      <c r="H21" s="211">
        <f>E21/D21</f>
        <v/>
      </c>
      <c r="J21" s="212" t="n">
        <v>46143</v>
      </c>
      <c r="K21" s="308" t="n">
        <v>3147197.41</v>
      </c>
      <c r="L21" s="308" t="n">
        <v>10668</v>
      </c>
      <c r="M21" s="308" t="n">
        <v>2897</v>
      </c>
      <c r="N21" s="308">
        <f>K21/L21</f>
        <v/>
      </c>
      <c r="O21" s="308">
        <f>K21/M21</f>
        <v/>
      </c>
      <c r="P21" s="214">
        <f>M21/L21</f>
        <v/>
      </c>
    </row>
    <row r="22">
      <c r="B22" s="227" t="inlineStr">
        <is>
          <t>Total</t>
        </is>
      </c>
      <c r="C22" s="310">
        <f>SUM(C20:C21)</f>
        <v/>
      </c>
      <c r="D22" s="310">
        <f>SUM(D20:D21)</f>
        <v/>
      </c>
      <c r="E22" s="310">
        <f>SUM(E20:E21)</f>
        <v/>
      </c>
      <c r="F22" s="310">
        <f>C22/D22</f>
        <v/>
      </c>
      <c r="G22" s="310">
        <f>C22/E22</f>
        <v/>
      </c>
      <c r="H22" s="217">
        <f>E22/D22</f>
        <v/>
      </c>
      <c r="J22" s="218" t="inlineStr">
        <is>
          <t>Total</t>
        </is>
      </c>
      <c r="K22" s="311">
        <f>SUM(K20:K21)</f>
        <v/>
      </c>
      <c r="L22" s="311">
        <f>SUM(L20:L21)</f>
        <v/>
      </c>
      <c r="M22" s="311">
        <f>SUM(M20:M21)</f>
        <v/>
      </c>
      <c r="N22" s="311">
        <f>K22/L22</f>
        <v/>
      </c>
      <c r="O22" s="311">
        <f>K22/M22</f>
        <v/>
      </c>
      <c r="P22" s="220">
        <f>M22/L22</f>
        <v/>
      </c>
    </row>
    <row r="23"/>
    <row r="24">
      <c r="B24" s="228" t="inlineStr">
        <is>
          <t>BHPS:</t>
        </is>
      </c>
    </row>
    <row r="25">
      <c r="B25" s="229" t="inlineStr">
        <is>
          <t>1. Overall, improved lead quality (24% to 29%) and lower Raw CPL (630 to 527 ) and CRM CPL (₹2,558 to ₹1,816) reflect more efficient lead generation and stronger conversion into qualified opportunities.</t>
        </is>
      </c>
    </row>
    <row r="26">
      <c r="B26" s="229" t="inlineStr">
        <is>
          <t>2. On Google, budget allocation towards higher-performing cohorts has improved lead quality, driving a lower CRM CPL</t>
        </is>
      </c>
    </row>
    <row r="27">
      <c r="B27" s="229" t="inlineStr">
        <is>
          <t>3. Scaling Performance Max campaigns contributed to increased lead volumes while maintaining cost efficiency, helping reduce both CPL and CRM CPL.</t>
        </is>
      </c>
    </row>
    <row r="28">
      <c r="B28" s="229" t="inlineStr">
        <is>
          <t>4. We have enabled AI Max on Search to identify incremental relevant searches and allow Google's AI to optimize targeting, ad delivery, and query matching to enhance campaign performance.</t>
        </is>
      </c>
    </row>
    <row r="29">
      <c r="B29" s="229" t="inlineStr">
        <is>
          <t>5. On Meta, we have segmented audiences to improve campaign optimization, enabling better budget allocation and stronger overall campaign performance.</t>
        </is>
      </c>
    </row>
    <row r="30">
      <c r="B30" s="229" t="inlineStr">
        <is>
          <t>6. On Meta, we conducted A/B tests across Partnership Ads and Accelerator Creatives to identify the most effective creative and targeting approaches, helping drive stronger campaign performance and lead quality.</t>
        </is>
      </c>
    </row>
    <row r="31">
      <c r="B31" s="229" t="n"/>
    </row>
    <row r="32">
      <c r="B32" s="230" t="inlineStr">
        <is>
          <t>SMC:</t>
        </is>
      </c>
    </row>
    <row r="33">
      <c r="B33" s="229" t="inlineStr">
        <is>
          <t>1. Compared to the previous financial year, budget allocation shifted significantly towards Google, with its share of media spend increasing from 65% to 85%.</t>
        </is>
      </c>
    </row>
    <row r="34">
      <c r="B34" s="231" t="inlineStr">
        <is>
          <t>2. This shift towards Google led to an 12% increase in Raw CPL and an 8% increase in CRM CPL.</t>
        </is>
      </c>
    </row>
    <row r="35">
      <c r="B35" s="231" t="inlineStr">
        <is>
          <t>3. Shifting a higher share of the budget toward Search is a strategic approach, as we have consistently seen higher on-site conversions through Search campaigns.</t>
        </is>
      </c>
    </row>
  </sheetData>
  <mergeCells count="6">
    <mergeCell ref="J19:P19"/>
    <mergeCell ref="J2:P2"/>
    <mergeCell ref="J3:P3"/>
    <mergeCell ref="B2:H2"/>
    <mergeCell ref="B3:H3"/>
    <mergeCell ref="B19:H1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Manan Choksi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2026-07-15T10:50:36Z</dcterms:modified>
  <cp:lastModifiedBy>Pundalik Kalangutkar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0x01010098EAE0EF5AEEDA4680CE48AF7FB8AD58</vt:lpwstr>
  </property>
</Properties>
</file>